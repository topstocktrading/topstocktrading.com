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e Log" sheetId="1" state="visible" r:id="rId3"/>
    <sheet name="Dashboard" sheetId="2" state="visible" r:id="rId4"/>
    <sheet name="Weekly Review" sheetId="3" state="visible" r:id="rId5"/>
    <sheet name="Daily Scor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<sst xmlns="http://schemas.openxmlformats.org/spreadsheetml/2006/main" count="114" uniqueCount="113">
  <si>
    <t xml:space="preserve">TST TRADE JOURNAL — TRADE LOG</t>
  </si>
  <si>
    <t xml:space="preserve">Enter one row per trade. Formulas auto-calculate P&amp;L, R Multiple, and Position Size. Blue cells = input. Black cells = formula.</t>
  </si>
  <si>
    <t xml:space="preserve">Date</t>
  </si>
  <si>
    <t xml:space="preserve">Ticker</t>
  </si>
  <si>
    <t xml:space="preserve">Setup Type</t>
  </si>
  <si>
    <t xml:space="preserve">Direction</t>
  </si>
  <si>
    <t xml:space="preserve">Entry $</t>
  </si>
  <si>
    <t xml:space="preserve">Stop $</t>
  </si>
  <si>
    <t xml:space="preserve">Target $</t>
  </si>
  <si>
    <t xml:space="preserve">Exit $</t>
  </si>
  <si>
    <t xml:space="preserve">Shares</t>
  </si>
  <si>
    <t xml:space="preserve">Risk $</t>
  </si>
  <si>
    <t xml:space="preserve">P&amp;L $</t>
  </si>
  <si>
    <t xml:space="preserve">P&amp;L %</t>
  </si>
  <si>
    <t xml:space="preserve">R Multiple</t>
  </si>
  <si>
    <t xml:space="preserve">Win/Loss</t>
  </si>
  <si>
    <t xml:space="preserve">Grade</t>
  </si>
  <si>
    <t xml:space="preserve">Emotional State</t>
  </si>
  <si>
    <t xml:space="preserve">Stop Honored</t>
  </si>
  <si>
    <t xml:space="preserve">Mistake Made</t>
  </si>
  <si>
    <t xml:space="preserve">Notes</t>
  </si>
  <si>
    <t xml:space="preserve">1/15/2026</t>
  </si>
  <si>
    <t xml:space="preserve">NVDA</t>
  </si>
  <si>
    <t xml:space="preserve">Bull Flag</t>
  </si>
  <si>
    <t xml:space="preserve">Long</t>
  </si>
  <si>
    <t xml:space="preserve">A</t>
  </si>
  <si>
    <t xml:space="preserve">Calm</t>
  </si>
  <si>
    <t xml:space="preserve">Yes</t>
  </si>
  <si>
    <t xml:space="preserve">No</t>
  </si>
  <si>
    <t xml:space="preserve">Clean bull flag on daily. Held 20 EMA. Exited at first target.</t>
  </si>
  <si>
    <t xml:space="preserve">TST TRADE JOURNAL — DASHBOARD</t>
  </si>
  <si>
    <t xml:space="preserve">Auto-populated from Trade Log. Do not edit this sheet.</t>
  </si>
  <si>
    <t xml:space="preserve">PERFORMANCE OVERVIEW</t>
  </si>
  <si>
    <t xml:space="preserve">GRADE BREAKDOWN</t>
  </si>
  <si>
    <t xml:space="preserve">BEHAVIORAL STATS</t>
  </si>
  <si>
    <t xml:space="preserve">Total Trades</t>
  </si>
  <si>
    <t xml:space="preserve">Grade A Trades</t>
  </si>
  <si>
    <t xml:space="preserve">Stops Honored</t>
  </si>
  <si>
    <t xml:space="preserve">Total P&amp;L</t>
  </si>
  <si>
    <t xml:space="preserve">Grade B Trades</t>
  </si>
  <si>
    <t xml:space="preserve">Mistake-Free Trades</t>
  </si>
  <si>
    <t xml:space="preserve">Win Rate</t>
  </si>
  <si>
    <t xml:space="preserve">Grade C Trades</t>
  </si>
  <si>
    <t xml:space="preserve">Most Common Setup</t>
  </si>
  <si>
    <t xml:space="preserve">Average Win $</t>
  </si>
  <si>
    <t xml:space="preserve">Grade D Trades</t>
  </si>
  <si>
    <t xml:space="preserve">Calm Trades %</t>
  </si>
  <si>
    <t xml:space="preserve">Average Loss $</t>
  </si>
  <si>
    <t xml:space="preserve">Grade F Trades</t>
  </si>
  <si>
    <t xml:space="preserve">Long Trades</t>
  </si>
  <si>
    <t xml:space="preserve">Profit Factor</t>
  </si>
  <si>
    <t xml:space="preserve">Short Trades</t>
  </si>
  <si>
    <t xml:space="preserve">Avg R Multiple</t>
  </si>
  <si>
    <t xml:space="preserve">Largest Win</t>
  </si>
  <si>
    <t xml:space="preserve">Largest Loss</t>
  </si>
  <si>
    <t xml:space="preserve">Dashboard updates automatically as you add trades to the Trade Log tab. Win Rate, Profit Factor, and Behavioral Stats are your most important numbers to track weekly.</t>
  </si>
  <si>
    <t xml:space="preserve">TST TRADE JOURNAL — WEEKLY REVIEW</t>
  </si>
  <si>
    <t xml:space="preserve">Complete one review per week. Be honest — this is the most important habit in trading.</t>
  </si>
  <si>
    <t xml:space="preserve">Week of:</t>
  </si>
  <si>
    <t xml:space="preserve">PERFORMANCE RECAP</t>
  </si>
  <si>
    <t xml:space="preserve">What was my total P&amp;L this week?</t>
  </si>
  <si>
    <t xml:space="preserve">How many trades did I take?</t>
  </si>
  <si>
    <t xml:space="preserve">What was my win rate this week?</t>
  </si>
  <si>
    <t xml:space="preserve">What was my best trade and why did it work?</t>
  </si>
  <si>
    <t xml:space="preserve">What was my worst trade and what went wrong?</t>
  </si>
  <si>
    <t xml:space="preserve">WHAT WENT WELL</t>
  </si>
  <si>
    <t xml:space="preserve">Which setups performed best this week?</t>
  </si>
  <si>
    <t xml:space="preserve">What did I do well behaviorally?</t>
  </si>
  <si>
    <t xml:space="preserve">Did I follow my pre-market routine consistently?</t>
  </si>
  <si>
    <t xml:space="preserve">WHAT NEEDS IMPROVEMENT</t>
  </si>
  <si>
    <t xml:space="preserve">Which rules did I break and why?</t>
  </si>
  <si>
    <t xml:space="preserve">What emotional patterns showed up this week?</t>
  </si>
  <si>
    <t xml:space="preserve">Were there any trades I should not have taken?</t>
  </si>
  <si>
    <t xml:space="preserve">What was my biggest mistake and how do I fix it?</t>
  </si>
  <si>
    <t xml:space="preserve">NEXT WEEK FOCUS</t>
  </si>
  <si>
    <t xml:space="preserve">What is the ONE behavioral thing I am working on next week?</t>
  </si>
  <si>
    <t xml:space="preserve">What setups will I focus on?</t>
  </si>
  <si>
    <t xml:space="preserve">What will I do differently?</t>
  </si>
  <si>
    <t xml:space="preserve">Any market conditions or events to be aware of next week?</t>
  </si>
  <si>
    <t xml:space="preserve">TST TRADE JOURNAL — DAILY SCORECARD</t>
  </si>
  <si>
    <t xml:space="preserve">Complete after every trading session. Answer honestly — the scorecard only works if you tell the truth.</t>
  </si>
  <si>
    <t xml:space="preserve">Date:</t>
  </si>
  <si>
    <t xml:space="preserve">Daily P&amp;L:</t>
  </si>
  <si>
    <t xml:space="preserve">#</t>
  </si>
  <si>
    <t xml:space="preserve">Question</t>
  </si>
  <si>
    <t xml:space="preserve">Yes / No</t>
  </si>
  <si>
    <t xml:space="preserve">Did I complete my full pre-market routine before the open?</t>
  </si>
  <si>
    <t xml:space="preserve">No routine = reactive trading. This is non-negotiable.</t>
  </si>
  <si>
    <t xml:space="preserve">Did I stick to my watchlist only — no off-list trades?</t>
  </si>
  <si>
    <t xml:space="preserve">Chasing stocks not on your list is a discipline failure.</t>
  </si>
  <si>
    <t xml:space="preserve">Did I overtrade? (More positions than planned)</t>
  </si>
  <si>
    <t xml:space="preserve">Define your max trades per day and honor it.</t>
  </si>
  <si>
    <t xml:space="preserve">Did I go green before going red? (Gave back a profitable session)</t>
  </si>
  <si>
    <t xml:space="preserve">One of the most common and preventable losses in trading.</t>
  </si>
  <si>
    <t xml:space="preserve">Did I move any stop loss to avoid a loss?</t>
  </si>
  <si>
    <t xml:space="preserve">If yes, that small loss likely became a large one.</t>
  </si>
  <si>
    <t xml:space="preserve">Did I revenge trade after a loss?</t>
  </si>
  <si>
    <t xml:space="preserve">The trade after the loss is almost always the second mistake.</t>
  </si>
  <si>
    <t xml:space="preserve">Did I honor every stop loss exactly as placed?</t>
  </si>
  <si>
    <t xml:space="preserve">Stops honored = risk controlled. Non-negotiable.</t>
  </si>
  <si>
    <t xml:space="preserve">Did I take profits too early out of fear they would reverse?</t>
  </si>
  <si>
    <t xml:space="preserve">Cutting winners short destroys your R multiple over time.</t>
  </si>
  <si>
    <t xml:space="preserve">Did I chase any entries above my planned entry price?</t>
  </si>
  <si>
    <t xml:space="preserve">Chasing leads to poor entries and wider stops.</t>
  </si>
  <si>
    <t xml:space="preserve">Did I size up emotionally — not based on my position sizing formula?</t>
  </si>
  <si>
    <t xml:space="preserve">Emotional sizing is how good days turn into disasters.</t>
  </si>
  <si>
    <t xml:space="preserve">Did I stop trading after hitting my daily max loss?</t>
  </si>
  <si>
    <t xml:space="preserve">If you kept trading after max loss, you broke the most important rule.</t>
  </si>
  <si>
    <t xml:space="preserve">Did I journal all trades before closing the platform?</t>
  </si>
  <si>
    <t xml:space="preserve">Unjournaled trades are missed learning opportunities.</t>
  </si>
  <si>
    <t xml:space="preserve">Session Score (Yes answers to positive questions)</t>
  </si>
  <si>
    <t xml:space="preserve">Out of 12. Target: 10 or higher every session.</t>
  </si>
  <si>
    <t xml:space="preserve">Session Notes: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</si>
</sst>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0.00%"/>
    <numFmt numFmtId="167" formatCode="0.00"/>
    <numFmt numFmtId="168" formatCode="General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F0E8"/>
      <name val="Arial"/>
      <family val="0"/>
      <charset val="1"/>
    </font>
    <font>
      <sz val="8"/>
      <color rgb="FF5A7A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AA"/>
      <name val="Arial"/>
      <family val="0"/>
      <charset val="1"/>
    </font>
    <font>
      <sz val="9"/>
      <color rgb="FF333333"/>
      <name val="Arial"/>
      <family val="0"/>
      <charset val="1"/>
    </font>
    <font>
      <sz val="9"/>
      <color rgb="FF5A7A5A"/>
      <name val="Arial"/>
      <family val="0"/>
      <charset val="1"/>
    </font>
    <font>
      <b val="true"/>
      <sz val="13"/>
      <color rgb="FF0D1A0D"/>
      <name val="Arial"/>
      <family val="0"/>
      <charset val="1"/>
    </font>
    <font>
      <b val="true"/>
      <sz val="10"/>
      <color rgb="FF0D1A0D"/>
      <name val="Arial"/>
      <family val="0"/>
      <charset val="1"/>
    </font>
    <font>
      <sz val="10"/>
      <color rgb="FF0000AA"/>
      <name val="Arial"/>
      <family val="0"/>
      <charset val="1"/>
    </font>
    <font>
      <b val="true"/>
      <sz val="9"/>
      <color rgb="FF5A7A5A"/>
      <name val="Arial"/>
      <family val="0"/>
      <charset val="1"/>
    </font>
    <font>
      <sz val="9"/>
      <color rgb="FF1A2A1A"/>
      <name val="Arial"/>
      <family val="0"/>
      <charset val="1"/>
    </font>
    <font>
      <b val="true"/>
      <sz val="10"/>
      <color rgb="FF0000A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1A0D"/>
        <bgColor rgb="FF1A2A1A"/>
      </patternFill>
    </fill>
    <fill>
      <patternFill patternType="solid">
        <fgColor rgb="FF1A3A1A"/>
        <bgColor rgb="FF1A2A1A"/>
      </patternFill>
    </fill>
    <fill>
      <patternFill patternType="solid">
        <fgColor rgb="FF4AB44A"/>
        <bgColor rgb="FF5A7A5A"/>
      </patternFill>
    </fill>
    <fill>
      <patternFill patternType="solid">
        <fgColor rgb="FFEAF3DE"/>
        <bgColor rgb="FFE8F0E8"/>
      </patternFill>
    </fill>
    <fill>
      <patternFill patternType="solid">
        <fgColor rgb="FFF8FAF8"/>
        <bgColor rgb="FFFFFFFF"/>
      </patternFill>
    </fill>
    <fill>
      <patternFill patternType="solid">
        <fgColor rgb="FFFFFFFF"/>
        <bgColor rgb="FFF8FAF8"/>
      </patternFill>
    </fill>
    <fill>
      <patternFill patternType="solid">
        <fgColor rgb="FFFFF8E0"/>
        <bgColor rgb="FFF8FA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8C8"/>
      </left>
      <right style="thin">
        <color rgb="FFC8D8C8"/>
      </right>
      <top style="thin">
        <color rgb="FFC8D8C8"/>
      </top>
      <bottom style="thin">
        <color rgb="FFC8D8C8"/>
      </bottom>
      <diagonal/>
    </border>
    <border diagonalUp="false" diagonalDown="false">
      <left style="thin">
        <color rgb="FFC8D8C8"/>
      </left>
      <right/>
      <top style="thin">
        <color rgb="FFC8D8C8"/>
      </top>
      <bottom style="thin">
        <color rgb="FFC8D8C8"/>
      </bottom>
      <diagonal/>
    </border>
    <border diagonalUp="false" diagonalDown="false">
      <left/>
      <right style="thin">
        <color rgb="FFC8D8C8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6A2D"/>
      <rgbColor rgb="FF0000AA"/>
      <rgbColor rgb="FF808000"/>
      <rgbColor rgb="FF800080"/>
      <rgbColor rgb="FF008080"/>
      <rgbColor rgb="FFC8D8C8"/>
      <rgbColor rgb="FF5A7A5A"/>
      <rgbColor rgb="FF9999FF"/>
      <rgbColor rgb="FF993366"/>
      <rgbColor rgb="FFFFF8E0"/>
      <rgbColor rgb="FFE8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8"/>
      <rgbColor rgb="FFEAF3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D1A0D"/>
      <rgbColor rgb="FF4AB44A"/>
      <rgbColor rgb="FF1A2A1A"/>
      <rgbColor rgb="FF1A3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B44A"/>
    <pageSetUpPr fitToPage="false"/>
  </sheetPr>
  <dimension ref="A1:S1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5" min="12" style="0" width="10"/>
    <col collapsed="false" customWidth="true" hidden="false" outlineLevel="0" max="16" min="16" style="0" width="14"/>
    <col collapsed="false" customWidth="true" hidden="false" outlineLevel="0" max="18" min="17" style="0" width="12"/>
    <col collapsed="false" customWidth="true" hidden="false" outlineLevel="0" max="19" min="19" style="0" width="22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27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</row>
    <row r="4" customFormat="false" ht="18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n">
        <v>118.5</v>
      </c>
      <c r="F4" s="4" t="n">
        <v>115.5</v>
      </c>
      <c r="G4" s="4" t="n">
        <v>128</v>
      </c>
      <c r="H4" s="4" t="n">
        <v>126</v>
      </c>
      <c r="I4" s="4" t="n">
        <v>33</v>
      </c>
      <c r="J4" s="5" t="n">
        <f aca="false">IFERROR((E4-F4)*I4,"")</f>
        <v>99</v>
      </c>
      <c r="K4" s="5" t="n">
        <f aca="false">IFERROR(IF(D4="Long",(H4-E4)*I4,IF(D4="Short",(E4-H4)*I4,"")),"")</f>
        <v>247.5</v>
      </c>
      <c r="L4" s="6" t="n">
        <f aca="false">IFERROR(IF(D4="Long",(H4-E4)/E4,IF(D4="Short",(E4-H4)/E4,"")),"")</f>
        <v>0.0632911392405063</v>
      </c>
      <c r="M4" s="7" t="n">
        <f aca="false">IFERROR(K4/ABS(J4),"")</f>
        <v>2.5</v>
      </c>
      <c r="N4" s="8" t="str">
        <f aca="false">IFERROR(IF(K4&gt;0,"Win",IF(K4&lt;0,"Loss","Breakeven")),"")</f>
        <v>Win</v>
      </c>
      <c r="O4" s="4" t="s">
        <v>25</v>
      </c>
      <c r="P4" s="4" t="s">
        <v>26</v>
      </c>
      <c r="Q4" s="4" t="s">
        <v>27</v>
      </c>
      <c r="R4" s="4" t="s">
        <v>28</v>
      </c>
      <c r="S4" s="9" t="s">
        <v>29</v>
      </c>
    </row>
    <row r="5" customFormat="false" ht="18" hidden="false" customHeight="tru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1" t="n">
        <f aca="false">IFERROR((E5-F5)*I5,"")</f>
        <v>0</v>
      </c>
      <c r="K5" s="11" t="str">
        <f aca="false">IFERROR(IF(D5="Long",(H5-E5)*I5,IF(D5="Short",(E5-H5)*I5,"")),"")</f>
        <v/>
      </c>
      <c r="L5" s="12" t="str">
        <f aca="false">IFERROR(IF(D5="Long",(H5-E5)/E5,IF(D5="Short",(E5-H5)/E5,"")),"")</f>
        <v/>
      </c>
      <c r="M5" s="13" t="str">
        <f aca="false">IFERROR(K5/ABS(J5),"")</f>
        <v/>
      </c>
      <c r="N5" s="14" t="str">
        <f aca="false">IFERROR(IF(K5&gt;0,"Win",IF(K5&lt;0,"Loss","Breakeven")),"")</f>
        <v>Win</v>
      </c>
      <c r="O5" s="10"/>
      <c r="P5" s="10"/>
      <c r="Q5" s="10"/>
      <c r="R5" s="10"/>
      <c r="S5" s="15"/>
    </row>
    <row r="6" customFormat="false" ht="18" hidden="false" customHeight="true" outlineLevel="0" collapsed="false">
      <c r="A6" s="16"/>
      <c r="B6" s="16"/>
      <c r="C6" s="16"/>
      <c r="D6" s="16"/>
      <c r="E6" s="16"/>
      <c r="F6" s="16"/>
      <c r="G6" s="16"/>
      <c r="H6" s="16"/>
      <c r="I6" s="16"/>
      <c r="J6" s="17" t="n">
        <f aca="false">IFERROR((E6-F6)*I6,"")</f>
        <v>0</v>
      </c>
      <c r="K6" s="17" t="str">
        <f aca="false">IFERROR(IF(D6="Long",(H6-E6)*I6,IF(D6="Short",(E6-H6)*I6,"")),"")</f>
        <v/>
      </c>
      <c r="L6" s="18" t="str">
        <f aca="false">IFERROR(IF(D6="Long",(H6-E6)/E6,IF(D6="Short",(E6-H6)/E6,"")),"")</f>
        <v/>
      </c>
      <c r="M6" s="19" t="str">
        <f aca="false">IFERROR(K6/ABS(J6),"")</f>
        <v/>
      </c>
      <c r="N6" s="20" t="str">
        <f aca="false">IFERROR(IF(K6&gt;0,"Win",IF(K6&lt;0,"Loss","Breakeven")),"")</f>
        <v>Win</v>
      </c>
      <c r="O6" s="16"/>
      <c r="P6" s="16"/>
      <c r="Q6" s="16"/>
      <c r="R6" s="16"/>
      <c r="S6" s="21"/>
    </row>
    <row r="7" customFormat="false" ht="18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1" t="n">
        <f aca="false">IFERROR((E7-F7)*I7,"")</f>
        <v>0</v>
      </c>
      <c r="K7" s="11" t="str">
        <f aca="false">IFERROR(IF(D7="Long",(H7-E7)*I7,IF(D7="Short",(E7-H7)*I7,"")),"")</f>
        <v/>
      </c>
      <c r="L7" s="12" t="str">
        <f aca="false">IFERROR(IF(D7="Long",(H7-E7)/E7,IF(D7="Short",(E7-H7)/E7,"")),"")</f>
        <v/>
      </c>
      <c r="M7" s="13" t="str">
        <f aca="false">IFERROR(K7/ABS(J7),"")</f>
        <v/>
      </c>
      <c r="N7" s="14" t="str">
        <f aca="false">IFERROR(IF(K7&gt;0,"Win",IF(K7&lt;0,"Loss","Breakeven")),"")</f>
        <v>Win</v>
      </c>
      <c r="O7" s="10"/>
      <c r="P7" s="10"/>
      <c r="Q7" s="10"/>
      <c r="R7" s="10"/>
      <c r="S7" s="15"/>
    </row>
    <row r="8" customFormat="false" ht="18" hidden="false" customHeight="true" outlineLevel="0" collapsed="false">
      <c r="A8" s="16"/>
      <c r="B8" s="16"/>
      <c r="C8" s="16"/>
      <c r="D8" s="16"/>
      <c r="E8" s="16"/>
      <c r="F8" s="16"/>
      <c r="G8" s="16"/>
      <c r="H8" s="16"/>
      <c r="I8" s="16"/>
      <c r="J8" s="17" t="n">
        <f aca="false">IFERROR((E8-F8)*I8,"")</f>
        <v>0</v>
      </c>
      <c r="K8" s="17" t="str">
        <f aca="false">IFERROR(IF(D8="Long",(H8-E8)*I8,IF(D8="Short",(E8-H8)*I8,"")),"")</f>
        <v/>
      </c>
      <c r="L8" s="18" t="str">
        <f aca="false">IFERROR(IF(D8="Long",(H8-E8)/E8,IF(D8="Short",(E8-H8)/E8,"")),"")</f>
        <v/>
      </c>
      <c r="M8" s="19" t="str">
        <f aca="false">IFERROR(K8/ABS(J8),"")</f>
        <v/>
      </c>
      <c r="N8" s="20" t="str">
        <f aca="false">IFERROR(IF(K8&gt;0,"Win",IF(K8&lt;0,"Loss","Breakeven")),"")</f>
        <v>Win</v>
      </c>
      <c r="O8" s="16"/>
      <c r="P8" s="16"/>
      <c r="Q8" s="16"/>
      <c r="R8" s="16"/>
      <c r="S8" s="21"/>
    </row>
    <row r="9" customFormat="false" ht="18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1" t="n">
        <f aca="false">IFERROR((E9-F9)*I9,"")</f>
        <v>0</v>
      </c>
      <c r="K9" s="11" t="str">
        <f aca="false">IFERROR(IF(D9="Long",(H9-E9)*I9,IF(D9="Short",(E9-H9)*I9,"")),"")</f>
        <v/>
      </c>
      <c r="L9" s="12" t="str">
        <f aca="false">IFERROR(IF(D9="Long",(H9-E9)/E9,IF(D9="Short",(E9-H9)/E9,"")),"")</f>
        <v/>
      </c>
      <c r="M9" s="13" t="str">
        <f aca="false">IFERROR(K9/ABS(J9),"")</f>
        <v/>
      </c>
      <c r="N9" s="14" t="str">
        <f aca="false">IFERROR(IF(K9&gt;0,"Win",IF(K9&lt;0,"Loss","Breakeven")),"")</f>
        <v>Win</v>
      </c>
      <c r="O9" s="10"/>
      <c r="P9" s="10"/>
      <c r="Q9" s="10"/>
      <c r="R9" s="10"/>
      <c r="S9" s="15"/>
    </row>
    <row r="10" customFormat="false" ht="18" hidden="false" customHeight="true" outlineLevel="0" collapsed="false">
      <c r="A10" s="16"/>
      <c r="B10" s="16"/>
      <c r="C10" s="16"/>
      <c r="D10" s="16"/>
      <c r="E10" s="16"/>
      <c r="F10" s="16"/>
      <c r="G10" s="16"/>
      <c r="H10" s="16"/>
      <c r="I10" s="16"/>
      <c r="J10" s="17" t="n">
        <f aca="false">IFERROR((E10-F10)*I10,"")</f>
        <v>0</v>
      </c>
      <c r="K10" s="17" t="str">
        <f aca="false">IFERROR(IF(D10="Long",(H10-E10)*I10,IF(D10="Short",(E10-H10)*I10,"")),"")</f>
        <v/>
      </c>
      <c r="L10" s="18" t="str">
        <f aca="false">IFERROR(IF(D10="Long",(H10-E10)/E10,IF(D10="Short",(E10-H10)/E10,"")),"")</f>
        <v/>
      </c>
      <c r="M10" s="19" t="str">
        <f aca="false">IFERROR(K10/ABS(J10),"")</f>
        <v/>
      </c>
      <c r="N10" s="20" t="str">
        <f aca="false">IFERROR(IF(K10&gt;0,"Win",IF(K10&lt;0,"Loss","Breakeven")),"")</f>
        <v>Win</v>
      </c>
      <c r="O10" s="16"/>
      <c r="P10" s="16"/>
      <c r="Q10" s="16"/>
      <c r="R10" s="16"/>
      <c r="S10" s="21"/>
    </row>
    <row r="11" customFormat="false" ht="18" hidden="false" customHeight="tru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1" t="n">
        <f aca="false">IFERROR((E11-F11)*I11,"")</f>
        <v>0</v>
      </c>
      <c r="K11" s="11" t="str">
        <f aca="false">IFERROR(IF(D11="Long",(H11-E11)*I11,IF(D11="Short",(E11-H11)*I11,"")),"")</f>
        <v/>
      </c>
      <c r="L11" s="12" t="str">
        <f aca="false">IFERROR(IF(D11="Long",(H11-E11)/E11,IF(D11="Short",(E11-H11)/E11,"")),"")</f>
        <v/>
      </c>
      <c r="M11" s="13" t="str">
        <f aca="false">IFERROR(K11/ABS(J11),"")</f>
        <v/>
      </c>
      <c r="N11" s="14" t="str">
        <f aca="false">IFERROR(IF(K11&gt;0,"Win",IF(K11&lt;0,"Loss","Breakeven")),"")</f>
        <v>Win</v>
      </c>
      <c r="O11" s="10"/>
      <c r="P11" s="10"/>
      <c r="Q11" s="10"/>
      <c r="R11" s="10"/>
      <c r="S11" s="15"/>
    </row>
    <row r="12" customFormat="false" ht="18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6"/>
      <c r="J12" s="17" t="n">
        <f aca="false">IFERROR((E12-F12)*I12,"")</f>
        <v>0</v>
      </c>
      <c r="K12" s="17" t="str">
        <f aca="false">IFERROR(IF(D12="Long",(H12-E12)*I12,IF(D12="Short",(E12-H12)*I12,"")),"")</f>
        <v/>
      </c>
      <c r="L12" s="18" t="str">
        <f aca="false">IFERROR(IF(D12="Long",(H12-E12)/E12,IF(D12="Short",(E12-H12)/E12,"")),"")</f>
        <v/>
      </c>
      <c r="M12" s="19" t="str">
        <f aca="false">IFERROR(K12/ABS(J12),"")</f>
        <v/>
      </c>
      <c r="N12" s="20" t="str">
        <f aca="false">IFERROR(IF(K12&gt;0,"Win",IF(K12&lt;0,"Loss","Breakeven")),"")</f>
        <v>Win</v>
      </c>
      <c r="O12" s="16"/>
      <c r="P12" s="16"/>
      <c r="Q12" s="16"/>
      <c r="R12" s="16"/>
      <c r="S12" s="21"/>
    </row>
    <row r="13" customFormat="false" ht="18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1" t="n">
        <f aca="false">IFERROR((E13-F13)*I13,"")</f>
        <v>0</v>
      </c>
      <c r="K13" s="11" t="str">
        <f aca="false">IFERROR(IF(D13="Long",(H13-E13)*I13,IF(D13="Short",(E13-H13)*I13,"")),"")</f>
        <v/>
      </c>
      <c r="L13" s="12" t="str">
        <f aca="false">IFERROR(IF(D13="Long",(H13-E13)/E13,IF(D13="Short",(E13-H13)/E13,"")),"")</f>
        <v/>
      </c>
      <c r="M13" s="13" t="str">
        <f aca="false">IFERROR(K13/ABS(J13),"")</f>
        <v/>
      </c>
      <c r="N13" s="14" t="str">
        <f aca="false">IFERROR(IF(K13&gt;0,"Win",IF(K13&lt;0,"Loss","Breakeven")),"")</f>
        <v>Win</v>
      </c>
      <c r="O13" s="10"/>
      <c r="P13" s="10"/>
      <c r="Q13" s="10"/>
      <c r="R13" s="10"/>
      <c r="S13" s="15"/>
    </row>
    <row r="14" customFormat="false" ht="18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6"/>
      <c r="J14" s="17" t="n">
        <f aca="false">IFERROR((E14-F14)*I14,"")</f>
        <v>0</v>
      </c>
      <c r="K14" s="17" t="str">
        <f aca="false">IFERROR(IF(D14="Long",(H14-E14)*I14,IF(D14="Short",(E14-H14)*I14,"")),"")</f>
        <v/>
      </c>
      <c r="L14" s="18" t="str">
        <f aca="false">IFERROR(IF(D14="Long",(H14-E14)/E14,IF(D14="Short",(E14-H14)/E14,"")),"")</f>
        <v/>
      </c>
      <c r="M14" s="19" t="str">
        <f aca="false">IFERROR(K14/ABS(J14),"")</f>
        <v/>
      </c>
      <c r="N14" s="20" t="str">
        <f aca="false">IFERROR(IF(K14&gt;0,"Win",IF(K14&lt;0,"Loss","Breakeven")),"")</f>
        <v>Win</v>
      </c>
      <c r="O14" s="16"/>
      <c r="P14" s="16"/>
      <c r="Q14" s="16"/>
      <c r="R14" s="16"/>
      <c r="S14" s="21"/>
    </row>
    <row r="15" customFormat="false" ht="18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1" t="n">
        <f aca="false">IFERROR((E15-F15)*I15,"")</f>
        <v>0</v>
      </c>
      <c r="K15" s="11" t="str">
        <f aca="false">IFERROR(IF(D15="Long",(H15-E15)*I15,IF(D15="Short",(E15-H15)*I15,"")),"")</f>
        <v/>
      </c>
      <c r="L15" s="12" t="str">
        <f aca="false">IFERROR(IF(D15="Long",(H15-E15)/E15,IF(D15="Short",(E15-H15)/E15,"")),"")</f>
        <v/>
      </c>
      <c r="M15" s="13" t="str">
        <f aca="false">IFERROR(K15/ABS(J15),"")</f>
        <v/>
      </c>
      <c r="N15" s="14" t="str">
        <f aca="false">IFERROR(IF(K15&gt;0,"Win",IF(K15&lt;0,"Loss","Breakeven")),"")</f>
        <v>Win</v>
      </c>
      <c r="O15" s="10"/>
      <c r="P15" s="10"/>
      <c r="Q15" s="10"/>
      <c r="R15" s="10"/>
      <c r="S15" s="15"/>
    </row>
    <row r="16" customFormat="false" ht="18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7" t="n">
        <f aca="false">IFERROR((E16-F16)*I16,"")</f>
        <v>0</v>
      </c>
      <c r="K16" s="17" t="str">
        <f aca="false">IFERROR(IF(D16="Long",(H16-E16)*I16,IF(D16="Short",(E16-H16)*I16,"")),"")</f>
        <v/>
      </c>
      <c r="L16" s="18" t="str">
        <f aca="false">IFERROR(IF(D16="Long",(H16-E16)/E16,IF(D16="Short",(E16-H16)/E16,"")),"")</f>
        <v/>
      </c>
      <c r="M16" s="19" t="str">
        <f aca="false">IFERROR(K16/ABS(J16),"")</f>
        <v/>
      </c>
      <c r="N16" s="20" t="str">
        <f aca="false">IFERROR(IF(K16&gt;0,"Win",IF(K16&lt;0,"Loss","Breakeven")),"")</f>
        <v>Win</v>
      </c>
      <c r="O16" s="16"/>
      <c r="P16" s="16"/>
      <c r="Q16" s="16"/>
      <c r="R16" s="16"/>
      <c r="S16" s="21"/>
    </row>
    <row r="17" customFormat="false" ht="18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1" t="n">
        <f aca="false">IFERROR((E17-F17)*I17,"")</f>
        <v>0</v>
      </c>
      <c r="K17" s="11" t="str">
        <f aca="false">IFERROR(IF(D17="Long",(H17-E17)*I17,IF(D17="Short",(E17-H17)*I17,"")),"")</f>
        <v/>
      </c>
      <c r="L17" s="12" t="str">
        <f aca="false">IFERROR(IF(D17="Long",(H17-E17)/E17,IF(D17="Short",(E17-H17)/E17,"")),"")</f>
        <v/>
      </c>
      <c r="M17" s="13" t="str">
        <f aca="false">IFERROR(K17/ABS(J17),"")</f>
        <v/>
      </c>
      <c r="N17" s="14" t="str">
        <f aca="false">IFERROR(IF(K17&gt;0,"Win",IF(K17&lt;0,"Loss","Breakeven")),"")</f>
        <v>Win</v>
      </c>
      <c r="O17" s="10"/>
      <c r="P17" s="10"/>
      <c r="Q17" s="10"/>
      <c r="R17" s="10"/>
      <c r="S17" s="15"/>
    </row>
    <row r="18" customFormat="false" ht="18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6"/>
      <c r="J18" s="17" t="n">
        <f aca="false">IFERROR((E18-F18)*I18,"")</f>
        <v>0</v>
      </c>
      <c r="K18" s="17" t="str">
        <f aca="false">IFERROR(IF(D18="Long",(H18-E18)*I18,IF(D18="Short",(E18-H18)*I18,"")),"")</f>
        <v/>
      </c>
      <c r="L18" s="18" t="str">
        <f aca="false">IFERROR(IF(D18="Long",(H18-E18)/E18,IF(D18="Short",(E18-H18)/E18,"")),"")</f>
        <v/>
      </c>
      <c r="M18" s="19" t="str">
        <f aca="false">IFERROR(K18/ABS(J18),"")</f>
        <v/>
      </c>
      <c r="N18" s="20" t="str">
        <f aca="false">IFERROR(IF(K18&gt;0,"Win",IF(K18&lt;0,"Loss","Breakeven")),"")</f>
        <v>Win</v>
      </c>
      <c r="O18" s="16"/>
      <c r="P18" s="16"/>
      <c r="Q18" s="16"/>
      <c r="R18" s="16"/>
      <c r="S18" s="21"/>
    </row>
    <row r="19" customFormat="false" ht="18" hidden="false" customHeight="tru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1" t="n">
        <f aca="false">IFERROR((E19-F19)*I19,"")</f>
        <v>0</v>
      </c>
      <c r="K19" s="11" t="str">
        <f aca="false">IFERROR(IF(D19="Long",(H19-E19)*I19,IF(D19="Short",(E19-H19)*I19,"")),"")</f>
        <v/>
      </c>
      <c r="L19" s="12" t="str">
        <f aca="false">IFERROR(IF(D19="Long",(H19-E19)/E19,IF(D19="Short",(E19-H19)/E19,"")),"")</f>
        <v/>
      </c>
      <c r="M19" s="13" t="str">
        <f aca="false">IFERROR(K19/ABS(J19),"")</f>
        <v/>
      </c>
      <c r="N19" s="14" t="str">
        <f aca="false">IFERROR(IF(K19&gt;0,"Win",IF(K19&lt;0,"Loss","Breakeven")),"")</f>
        <v>Win</v>
      </c>
      <c r="O19" s="10"/>
      <c r="P19" s="10"/>
      <c r="Q19" s="10"/>
      <c r="R19" s="10"/>
      <c r="S19" s="15"/>
    </row>
    <row r="20" customFormat="false" ht="18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6"/>
      <c r="J20" s="17" t="n">
        <f aca="false">IFERROR((E20-F20)*I20,"")</f>
        <v>0</v>
      </c>
      <c r="K20" s="17" t="str">
        <f aca="false">IFERROR(IF(D20="Long",(H20-E20)*I20,IF(D20="Short",(E20-H20)*I20,"")),"")</f>
        <v/>
      </c>
      <c r="L20" s="18" t="str">
        <f aca="false">IFERROR(IF(D20="Long",(H20-E20)/E20,IF(D20="Short",(E20-H20)/E20,"")),"")</f>
        <v/>
      </c>
      <c r="M20" s="19" t="str">
        <f aca="false">IFERROR(K20/ABS(J20),"")</f>
        <v/>
      </c>
      <c r="N20" s="20" t="str">
        <f aca="false">IFERROR(IF(K20&gt;0,"Win",IF(K20&lt;0,"Loss","Breakeven")),"")</f>
        <v>Win</v>
      </c>
      <c r="O20" s="16"/>
      <c r="P20" s="16"/>
      <c r="Q20" s="16"/>
      <c r="R20" s="16"/>
      <c r="S20" s="21"/>
    </row>
    <row r="21" customFormat="false" ht="18" hidden="false" customHeight="tru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1" t="n">
        <f aca="false">IFERROR((E21-F21)*I21,"")</f>
        <v>0</v>
      </c>
      <c r="K21" s="11" t="str">
        <f aca="false">IFERROR(IF(D21="Long",(H21-E21)*I21,IF(D21="Short",(E21-H21)*I21,"")),"")</f>
        <v/>
      </c>
      <c r="L21" s="12" t="str">
        <f aca="false">IFERROR(IF(D21="Long",(H21-E21)/E21,IF(D21="Short",(E21-H21)/E21,"")),"")</f>
        <v/>
      </c>
      <c r="M21" s="13" t="str">
        <f aca="false">IFERROR(K21/ABS(J21),"")</f>
        <v/>
      </c>
      <c r="N21" s="14" t="str">
        <f aca="false">IFERROR(IF(K21&gt;0,"Win",IF(K21&lt;0,"Loss","Breakeven")),"")</f>
        <v>Win</v>
      </c>
      <c r="O21" s="10"/>
      <c r="P21" s="10"/>
      <c r="Q21" s="10"/>
      <c r="R21" s="10"/>
      <c r="S21" s="15"/>
    </row>
    <row r="22" customFormat="false" ht="18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6"/>
      <c r="J22" s="17" t="n">
        <f aca="false">IFERROR((E22-F22)*I22,"")</f>
        <v>0</v>
      </c>
      <c r="K22" s="17" t="str">
        <f aca="false">IFERROR(IF(D22="Long",(H22-E22)*I22,IF(D22="Short",(E22-H22)*I22,"")),"")</f>
        <v/>
      </c>
      <c r="L22" s="18" t="str">
        <f aca="false">IFERROR(IF(D22="Long",(H22-E22)/E22,IF(D22="Short",(E22-H22)/E22,"")),"")</f>
        <v/>
      </c>
      <c r="M22" s="19" t="str">
        <f aca="false">IFERROR(K22/ABS(J22),"")</f>
        <v/>
      </c>
      <c r="N22" s="20" t="str">
        <f aca="false">IFERROR(IF(K22&gt;0,"Win",IF(K22&lt;0,"Loss","Breakeven")),"")</f>
        <v>Win</v>
      </c>
      <c r="O22" s="16"/>
      <c r="P22" s="16"/>
      <c r="Q22" s="16"/>
      <c r="R22" s="16"/>
      <c r="S22" s="21"/>
    </row>
    <row r="23" customFormat="false" ht="18" hidden="false" customHeight="tru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1" t="n">
        <f aca="false">IFERROR((E23-F23)*I23,"")</f>
        <v>0</v>
      </c>
      <c r="K23" s="11" t="str">
        <f aca="false">IFERROR(IF(D23="Long",(H23-E23)*I23,IF(D23="Short",(E23-H23)*I23,"")),"")</f>
        <v/>
      </c>
      <c r="L23" s="12" t="str">
        <f aca="false">IFERROR(IF(D23="Long",(H23-E23)/E23,IF(D23="Short",(E23-H23)/E23,"")),"")</f>
        <v/>
      </c>
      <c r="M23" s="13" t="str">
        <f aca="false">IFERROR(K23/ABS(J23),"")</f>
        <v/>
      </c>
      <c r="N23" s="14" t="str">
        <f aca="false">IFERROR(IF(K23&gt;0,"Win",IF(K23&lt;0,"Loss","Breakeven")),"")</f>
        <v>Win</v>
      </c>
      <c r="O23" s="10"/>
      <c r="P23" s="10"/>
      <c r="Q23" s="10"/>
      <c r="R23" s="10"/>
      <c r="S23" s="15"/>
    </row>
    <row r="24" customFormat="false" ht="18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6"/>
      <c r="J24" s="17" t="n">
        <f aca="false">IFERROR((E24-F24)*I24,"")</f>
        <v>0</v>
      </c>
      <c r="K24" s="17" t="str">
        <f aca="false">IFERROR(IF(D24="Long",(H24-E24)*I24,IF(D24="Short",(E24-H24)*I24,"")),"")</f>
        <v/>
      </c>
      <c r="L24" s="18" t="str">
        <f aca="false">IFERROR(IF(D24="Long",(H24-E24)/E24,IF(D24="Short",(E24-H24)/E24,"")),"")</f>
        <v/>
      </c>
      <c r="M24" s="19" t="str">
        <f aca="false">IFERROR(K24/ABS(J24),"")</f>
        <v/>
      </c>
      <c r="N24" s="20" t="str">
        <f aca="false">IFERROR(IF(K24&gt;0,"Win",IF(K24&lt;0,"Loss","Breakeven")),"")</f>
        <v>Win</v>
      </c>
      <c r="O24" s="16"/>
      <c r="P24" s="16"/>
      <c r="Q24" s="16"/>
      <c r="R24" s="16"/>
      <c r="S24" s="21"/>
    </row>
    <row r="25" customFormat="false" ht="18" hidden="false" customHeight="tru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1" t="n">
        <f aca="false">IFERROR((E25-F25)*I25,"")</f>
        <v>0</v>
      </c>
      <c r="K25" s="11" t="str">
        <f aca="false">IFERROR(IF(D25="Long",(H25-E25)*I25,IF(D25="Short",(E25-H25)*I25,"")),"")</f>
        <v/>
      </c>
      <c r="L25" s="12" t="str">
        <f aca="false">IFERROR(IF(D25="Long",(H25-E25)/E25,IF(D25="Short",(E25-H25)/E25,"")),"")</f>
        <v/>
      </c>
      <c r="M25" s="13" t="str">
        <f aca="false">IFERROR(K25/ABS(J25),"")</f>
        <v/>
      </c>
      <c r="N25" s="14" t="str">
        <f aca="false">IFERROR(IF(K25&gt;0,"Win",IF(K25&lt;0,"Loss","Breakeven")),"")</f>
        <v>Win</v>
      </c>
      <c r="O25" s="10"/>
      <c r="P25" s="10"/>
      <c r="Q25" s="10"/>
      <c r="R25" s="10"/>
      <c r="S25" s="15"/>
    </row>
    <row r="26" customFormat="false" ht="18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6"/>
      <c r="J26" s="17" t="n">
        <f aca="false">IFERROR((E26-F26)*I26,"")</f>
        <v>0</v>
      </c>
      <c r="K26" s="17" t="str">
        <f aca="false">IFERROR(IF(D26="Long",(H26-E26)*I26,IF(D26="Short",(E26-H26)*I26,"")),"")</f>
        <v/>
      </c>
      <c r="L26" s="18" t="str">
        <f aca="false">IFERROR(IF(D26="Long",(H26-E26)/E26,IF(D26="Short",(E26-H26)/E26,"")),"")</f>
        <v/>
      </c>
      <c r="M26" s="19" t="str">
        <f aca="false">IFERROR(K26/ABS(J26),"")</f>
        <v/>
      </c>
      <c r="N26" s="20" t="str">
        <f aca="false">IFERROR(IF(K26&gt;0,"Win",IF(K26&lt;0,"Loss","Breakeven")),"")</f>
        <v>Win</v>
      </c>
      <c r="O26" s="16"/>
      <c r="P26" s="16"/>
      <c r="Q26" s="16"/>
      <c r="R26" s="16"/>
      <c r="S26" s="21"/>
    </row>
    <row r="27" customFormat="false" ht="18" hidden="false" customHeight="tru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1" t="n">
        <f aca="false">IFERROR((E27-F27)*I27,"")</f>
        <v>0</v>
      </c>
      <c r="K27" s="11" t="str">
        <f aca="false">IFERROR(IF(D27="Long",(H27-E27)*I27,IF(D27="Short",(E27-H27)*I27,"")),"")</f>
        <v/>
      </c>
      <c r="L27" s="12" t="str">
        <f aca="false">IFERROR(IF(D27="Long",(H27-E27)/E27,IF(D27="Short",(E27-H27)/E27,"")),"")</f>
        <v/>
      </c>
      <c r="M27" s="13" t="str">
        <f aca="false">IFERROR(K27/ABS(J27),"")</f>
        <v/>
      </c>
      <c r="N27" s="14" t="str">
        <f aca="false">IFERROR(IF(K27&gt;0,"Win",IF(K27&lt;0,"Loss","Breakeven")),"")</f>
        <v>Win</v>
      </c>
      <c r="O27" s="10"/>
      <c r="P27" s="10"/>
      <c r="Q27" s="10"/>
      <c r="R27" s="10"/>
      <c r="S27" s="15"/>
    </row>
    <row r="28" customFormat="false" ht="18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6"/>
      <c r="J28" s="17" t="n">
        <f aca="false">IFERROR((E28-F28)*I28,"")</f>
        <v>0</v>
      </c>
      <c r="K28" s="17" t="str">
        <f aca="false">IFERROR(IF(D28="Long",(H28-E28)*I28,IF(D28="Short",(E28-H28)*I28,"")),"")</f>
        <v/>
      </c>
      <c r="L28" s="18" t="str">
        <f aca="false">IFERROR(IF(D28="Long",(H28-E28)/E28,IF(D28="Short",(E28-H28)/E28,"")),"")</f>
        <v/>
      </c>
      <c r="M28" s="19" t="str">
        <f aca="false">IFERROR(K28/ABS(J28),"")</f>
        <v/>
      </c>
      <c r="N28" s="20" t="str">
        <f aca="false">IFERROR(IF(K28&gt;0,"Win",IF(K28&lt;0,"Loss","Breakeven")),"")</f>
        <v>Win</v>
      </c>
      <c r="O28" s="16"/>
      <c r="P28" s="16"/>
      <c r="Q28" s="16"/>
      <c r="R28" s="16"/>
      <c r="S28" s="21"/>
    </row>
    <row r="29" customFormat="false" ht="18" hidden="false" customHeight="tru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1" t="n">
        <f aca="false">IFERROR((E29-F29)*I29,"")</f>
        <v>0</v>
      </c>
      <c r="K29" s="11" t="str">
        <f aca="false">IFERROR(IF(D29="Long",(H29-E29)*I29,IF(D29="Short",(E29-H29)*I29,"")),"")</f>
        <v/>
      </c>
      <c r="L29" s="12" t="str">
        <f aca="false">IFERROR(IF(D29="Long",(H29-E29)/E29,IF(D29="Short",(E29-H29)/E29,"")),"")</f>
        <v/>
      </c>
      <c r="M29" s="13" t="str">
        <f aca="false">IFERROR(K29/ABS(J29),"")</f>
        <v/>
      </c>
      <c r="N29" s="14" t="str">
        <f aca="false">IFERROR(IF(K29&gt;0,"Win",IF(K29&lt;0,"Loss","Breakeven")),"")</f>
        <v>Win</v>
      </c>
      <c r="O29" s="10"/>
      <c r="P29" s="10"/>
      <c r="Q29" s="10"/>
      <c r="R29" s="10"/>
      <c r="S29" s="15"/>
    </row>
    <row r="30" customFormat="false" ht="18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6"/>
      <c r="J30" s="17" t="n">
        <f aca="false">IFERROR((E30-F30)*I30,"")</f>
        <v>0</v>
      </c>
      <c r="K30" s="17" t="str">
        <f aca="false">IFERROR(IF(D30="Long",(H30-E30)*I30,IF(D30="Short",(E30-H30)*I30,"")),"")</f>
        <v/>
      </c>
      <c r="L30" s="18" t="str">
        <f aca="false">IFERROR(IF(D30="Long",(H30-E30)/E30,IF(D30="Short",(E30-H30)/E30,"")),"")</f>
        <v/>
      </c>
      <c r="M30" s="19" t="str">
        <f aca="false">IFERROR(K30/ABS(J30),"")</f>
        <v/>
      </c>
      <c r="N30" s="20" t="str">
        <f aca="false">IFERROR(IF(K30&gt;0,"Win",IF(K30&lt;0,"Loss","Breakeven")),"")</f>
        <v>Win</v>
      </c>
      <c r="O30" s="16"/>
      <c r="P30" s="16"/>
      <c r="Q30" s="16"/>
      <c r="R30" s="16"/>
      <c r="S30" s="21"/>
    </row>
    <row r="31" customFormat="false" ht="18" hidden="false" customHeight="tru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1" t="n">
        <f aca="false">IFERROR((E31-F31)*I31,"")</f>
        <v>0</v>
      </c>
      <c r="K31" s="11" t="str">
        <f aca="false">IFERROR(IF(D31="Long",(H31-E31)*I31,IF(D31="Short",(E31-H31)*I31,"")),"")</f>
        <v/>
      </c>
      <c r="L31" s="12" t="str">
        <f aca="false">IFERROR(IF(D31="Long",(H31-E31)/E31,IF(D31="Short",(E31-H31)/E31,"")),"")</f>
        <v/>
      </c>
      <c r="M31" s="13" t="str">
        <f aca="false">IFERROR(K31/ABS(J31),"")</f>
        <v/>
      </c>
      <c r="N31" s="14" t="str">
        <f aca="false">IFERROR(IF(K31&gt;0,"Win",IF(K31&lt;0,"Loss","Breakeven")),"")</f>
        <v>Win</v>
      </c>
      <c r="O31" s="10"/>
      <c r="P31" s="10"/>
      <c r="Q31" s="10"/>
      <c r="R31" s="10"/>
      <c r="S31" s="15"/>
    </row>
    <row r="32" customFormat="false" ht="18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6"/>
      <c r="J32" s="17" t="n">
        <f aca="false">IFERROR((E32-F32)*I32,"")</f>
        <v>0</v>
      </c>
      <c r="K32" s="17" t="str">
        <f aca="false">IFERROR(IF(D32="Long",(H32-E32)*I32,IF(D32="Short",(E32-H32)*I32,"")),"")</f>
        <v/>
      </c>
      <c r="L32" s="18" t="str">
        <f aca="false">IFERROR(IF(D32="Long",(H32-E32)/E32,IF(D32="Short",(E32-H32)/E32,"")),"")</f>
        <v/>
      </c>
      <c r="M32" s="19" t="str">
        <f aca="false">IFERROR(K32/ABS(J32),"")</f>
        <v/>
      </c>
      <c r="N32" s="20" t="str">
        <f aca="false">IFERROR(IF(K32&gt;0,"Win",IF(K32&lt;0,"Loss","Breakeven")),"")</f>
        <v>Win</v>
      </c>
      <c r="O32" s="16"/>
      <c r="P32" s="16"/>
      <c r="Q32" s="16"/>
      <c r="R32" s="16"/>
      <c r="S32" s="21"/>
    </row>
    <row r="33" customFormat="false" ht="18" hidden="false" customHeight="tru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1" t="n">
        <f aca="false">IFERROR((E33-F33)*I33,"")</f>
        <v>0</v>
      </c>
      <c r="K33" s="11" t="str">
        <f aca="false">IFERROR(IF(D33="Long",(H33-E33)*I33,IF(D33="Short",(E33-H33)*I33,"")),"")</f>
        <v/>
      </c>
      <c r="L33" s="12" t="str">
        <f aca="false">IFERROR(IF(D33="Long",(H33-E33)/E33,IF(D33="Short",(E33-H33)/E33,"")),"")</f>
        <v/>
      </c>
      <c r="M33" s="13" t="str">
        <f aca="false">IFERROR(K33/ABS(J33),"")</f>
        <v/>
      </c>
      <c r="N33" s="14" t="str">
        <f aca="false">IFERROR(IF(K33&gt;0,"Win",IF(K33&lt;0,"Loss","Breakeven")),"")</f>
        <v>Win</v>
      </c>
      <c r="O33" s="10"/>
      <c r="P33" s="10"/>
      <c r="Q33" s="10"/>
      <c r="R33" s="10"/>
      <c r="S33" s="15"/>
    </row>
    <row r="34" customFormat="false" ht="18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6"/>
      <c r="J34" s="17" t="n">
        <f aca="false">IFERROR((E34-F34)*I34,"")</f>
        <v>0</v>
      </c>
      <c r="K34" s="17" t="str">
        <f aca="false">IFERROR(IF(D34="Long",(H34-E34)*I34,IF(D34="Short",(E34-H34)*I34,"")),"")</f>
        <v/>
      </c>
      <c r="L34" s="18" t="str">
        <f aca="false">IFERROR(IF(D34="Long",(H34-E34)/E34,IF(D34="Short",(E34-H34)/E34,"")),"")</f>
        <v/>
      </c>
      <c r="M34" s="19" t="str">
        <f aca="false">IFERROR(K34/ABS(J34),"")</f>
        <v/>
      </c>
      <c r="N34" s="20" t="str">
        <f aca="false">IFERROR(IF(K34&gt;0,"Win",IF(K34&lt;0,"Loss","Breakeven")),"")</f>
        <v>Win</v>
      </c>
      <c r="O34" s="16"/>
      <c r="P34" s="16"/>
      <c r="Q34" s="16"/>
      <c r="R34" s="16"/>
      <c r="S34" s="21"/>
    </row>
    <row r="35" customFormat="false" ht="18" hidden="false" customHeight="tru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1" t="n">
        <f aca="false">IFERROR((E35-F35)*I35,"")</f>
        <v>0</v>
      </c>
      <c r="K35" s="11" t="str">
        <f aca="false">IFERROR(IF(D35="Long",(H35-E35)*I35,IF(D35="Short",(E35-H35)*I35,"")),"")</f>
        <v/>
      </c>
      <c r="L35" s="12" t="str">
        <f aca="false">IFERROR(IF(D35="Long",(H35-E35)/E35,IF(D35="Short",(E35-H35)/E35,"")),"")</f>
        <v/>
      </c>
      <c r="M35" s="13" t="str">
        <f aca="false">IFERROR(K35/ABS(J35),"")</f>
        <v/>
      </c>
      <c r="N35" s="14" t="str">
        <f aca="false">IFERROR(IF(K35&gt;0,"Win",IF(K35&lt;0,"Loss","Breakeven")),"")</f>
        <v>Win</v>
      </c>
      <c r="O35" s="10"/>
      <c r="P35" s="10"/>
      <c r="Q35" s="10"/>
      <c r="R35" s="10"/>
      <c r="S35" s="15"/>
    </row>
    <row r="36" customFormat="false" ht="18" hidden="false" customHeight="true" outlineLevel="0" collapsed="false">
      <c r="A36" s="16"/>
      <c r="B36" s="16"/>
      <c r="C36" s="16"/>
      <c r="D36" s="16"/>
      <c r="E36" s="16"/>
      <c r="F36" s="16"/>
      <c r="G36" s="16"/>
      <c r="H36" s="16"/>
      <c r="I36" s="16"/>
      <c r="J36" s="17" t="n">
        <f aca="false">IFERROR((E36-F36)*I36,"")</f>
        <v>0</v>
      </c>
      <c r="K36" s="17" t="str">
        <f aca="false">IFERROR(IF(D36="Long",(H36-E36)*I36,IF(D36="Short",(E36-H36)*I36,"")),"")</f>
        <v/>
      </c>
      <c r="L36" s="18" t="str">
        <f aca="false">IFERROR(IF(D36="Long",(H36-E36)/E36,IF(D36="Short",(E36-H36)/E36,"")),"")</f>
        <v/>
      </c>
      <c r="M36" s="19" t="str">
        <f aca="false">IFERROR(K36/ABS(J36),"")</f>
        <v/>
      </c>
      <c r="N36" s="20" t="str">
        <f aca="false">IFERROR(IF(K36&gt;0,"Win",IF(K36&lt;0,"Loss","Breakeven")),"")</f>
        <v>Win</v>
      </c>
      <c r="O36" s="16"/>
      <c r="P36" s="16"/>
      <c r="Q36" s="16"/>
      <c r="R36" s="16"/>
      <c r="S36" s="21"/>
    </row>
    <row r="37" customFormat="false" ht="18" hidden="false" customHeight="tru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1" t="n">
        <f aca="false">IFERROR((E37-F37)*I37,"")</f>
        <v>0</v>
      </c>
      <c r="K37" s="11" t="str">
        <f aca="false">IFERROR(IF(D37="Long",(H37-E37)*I37,IF(D37="Short",(E37-H37)*I37,"")),"")</f>
        <v/>
      </c>
      <c r="L37" s="12" t="str">
        <f aca="false">IFERROR(IF(D37="Long",(H37-E37)/E37,IF(D37="Short",(E37-H37)/E37,"")),"")</f>
        <v/>
      </c>
      <c r="M37" s="13" t="str">
        <f aca="false">IFERROR(K37/ABS(J37),"")</f>
        <v/>
      </c>
      <c r="N37" s="14" t="str">
        <f aca="false">IFERROR(IF(K37&gt;0,"Win",IF(K37&lt;0,"Loss","Breakeven")),"")</f>
        <v>Win</v>
      </c>
      <c r="O37" s="10"/>
      <c r="P37" s="10"/>
      <c r="Q37" s="10"/>
      <c r="R37" s="10"/>
      <c r="S37" s="15"/>
    </row>
    <row r="38" customFormat="false" ht="18" hidden="false" customHeight="true" outlineLevel="0" collapsed="false">
      <c r="A38" s="16"/>
      <c r="B38" s="16"/>
      <c r="C38" s="16"/>
      <c r="D38" s="16"/>
      <c r="E38" s="16"/>
      <c r="F38" s="16"/>
      <c r="G38" s="16"/>
      <c r="H38" s="16"/>
      <c r="I38" s="16"/>
      <c r="J38" s="17" t="n">
        <f aca="false">IFERROR((E38-F38)*I38,"")</f>
        <v>0</v>
      </c>
      <c r="K38" s="17" t="str">
        <f aca="false">IFERROR(IF(D38="Long",(H38-E38)*I38,IF(D38="Short",(E38-H38)*I38,"")),"")</f>
        <v/>
      </c>
      <c r="L38" s="18" t="str">
        <f aca="false">IFERROR(IF(D38="Long",(H38-E38)/E38,IF(D38="Short",(E38-H38)/E38,"")),"")</f>
        <v/>
      </c>
      <c r="M38" s="19" t="str">
        <f aca="false">IFERROR(K38/ABS(J38),"")</f>
        <v/>
      </c>
      <c r="N38" s="20" t="str">
        <f aca="false">IFERROR(IF(K38&gt;0,"Win",IF(K38&lt;0,"Loss","Breakeven")),"")</f>
        <v>Win</v>
      </c>
      <c r="O38" s="16"/>
      <c r="P38" s="16"/>
      <c r="Q38" s="16"/>
      <c r="R38" s="16"/>
      <c r="S38" s="21"/>
    </row>
    <row r="39" customFormat="false" ht="18" hidden="false" customHeight="tru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1" t="n">
        <f aca="false">IFERROR((E39-F39)*I39,"")</f>
        <v>0</v>
      </c>
      <c r="K39" s="11" t="str">
        <f aca="false">IFERROR(IF(D39="Long",(H39-E39)*I39,IF(D39="Short",(E39-H39)*I39,"")),"")</f>
        <v/>
      </c>
      <c r="L39" s="12" t="str">
        <f aca="false">IFERROR(IF(D39="Long",(H39-E39)/E39,IF(D39="Short",(E39-H39)/E39,"")),"")</f>
        <v/>
      </c>
      <c r="M39" s="13" t="str">
        <f aca="false">IFERROR(K39/ABS(J39),"")</f>
        <v/>
      </c>
      <c r="N39" s="14" t="str">
        <f aca="false">IFERROR(IF(K39&gt;0,"Win",IF(K39&lt;0,"Loss","Breakeven")),"")</f>
        <v>Win</v>
      </c>
      <c r="O39" s="10"/>
      <c r="P39" s="10"/>
      <c r="Q39" s="10"/>
      <c r="R39" s="10"/>
      <c r="S39" s="15"/>
    </row>
    <row r="40" customFormat="false" ht="18" hidden="false" customHeight="true" outlineLevel="0" collapsed="false">
      <c r="A40" s="16"/>
      <c r="B40" s="16"/>
      <c r="C40" s="16"/>
      <c r="D40" s="16"/>
      <c r="E40" s="16"/>
      <c r="F40" s="16"/>
      <c r="G40" s="16"/>
      <c r="H40" s="16"/>
      <c r="I40" s="16"/>
      <c r="J40" s="17" t="n">
        <f aca="false">IFERROR((E40-F40)*I40,"")</f>
        <v>0</v>
      </c>
      <c r="K40" s="17" t="str">
        <f aca="false">IFERROR(IF(D40="Long",(H40-E40)*I40,IF(D40="Short",(E40-H40)*I40,"")),"")</f>
        <v/>
      </c>
      <c r="L40" s="18" t="str">
        <f aca="false">IFERROR(IF(D40="Long",(H40-E40)/E40,IF(D40="Short",(E40-H40)/E40,"")),"")</f>
        <v/>
      </c>
      <c r="M40" s="19" t="str">
        <f aca="false">IFERROR(K40/ABS(J40),"")</f>
        <v/>
      </c>
      <c r="N40" s="20" t="str">
        <f aca="false">IFERROR(IF(K40&gt;0,"Win",IF(K40&lt;0,"Loss","Breakeven")),"")</f>
        <v>Win</v>
      </c>
      <c r="O40" s="16"/>
      <c r="P40" s="16"/>
      <c r="Q40" s="16"/>
      <c r="R40" s="16"/>
      <c r="S40" s="21"/>
    </row>
    <row r="41" customFormat="false" ht="18" hidden="false" customHeight="tru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1" t="n">
        <f aca="false">IFERROR((E41-F41)*I41,"")</f>
        <v>0</v>
      </c>
      <c r="K41" s="11" t="str">
        <f aca="false">IFERROR(IF(D41="Long",(H41-E41)*I41,IF(D41="Short",(E41-H41)*I41,"")),"")</f>
        <v/>
      </c>
      <c r="L41" s="12" t="str">
        <f aca="false">IFERROR(IF(D41="Long",(H41-E41)/E41,IF(D41="Short",(E41-H41)/E41,"")),"")</f>
        <v/>
      </c>
      <c r="M41" s="13" t="str">
        <f aca="false">IFERROR(K41/ABS(J41),"")</f>
        <v/>
      </c>
      <c r="N41" s="14" t="str">
        <f aca="false">IFERROR(IF(K41&gt;0,"Win",IF(K41&lt;0,"Loss","Breakeven")),"")</f>
        <v>Win</v>
      </c>
      <c r="O41" s="10"/>
      <c r="P41" s="10"/>
      <c r="Q41" s="10"/>
      <c r="R41" s="10"/>
      <c r="S41" s="15"/>
    </row>
    <row r="42" customFormat="false" ht="18" hidden="false" customHeight="true" outlineLevel="0" collapsed="false">
      <c r="A42" s="16"/>
      <c r="B42" s="16"/>
      <c r="C42" s="16"/>
      <c r="D42" s="16"/>
      <c r="E42" s="16"/>
      <c r="F42" s="16"/>
      <c r="G42" s="16"/>
      <c r="H42" s="16"/>
      <c r="I42" s="16"/>
      <c r="J42" s="17" t="n">
        <f aca="false">IFERROR((E42-F42)*I42,"")</f>
        <v>0</v>
      </c>
      <c r="K42" s="17" t="str">
        <f aca="false">IFERROR(IF(D42="Long",(H42-E42)*I42,IF(D42="Short",(E42-H42)*I42,"")),"")</f>
        <v/>
      </c>
      <c r="L42" s="18" t="str">
        <f aca="false">IFERROR(IF(D42="Long",(H42-E42)/E42,IF(D42="Short",(E42-H42)/E42,"")),"")</f>
        <v/>
      </c>
      <c r="M42" s="19" t="str">
        <f aca="false">IFERROR(K42/ABS(J42),"")</f>
        <v/>
      </c>
      <c r="N42" s="20" t="str">
        <f aca="false">IFERROR(IF(K42&gt;0,"Win",IF(K42&lt;0,"Loss","Breakeven")),"")</f>
        <v>Win</v>
      </c>
      <c r="O42" s="16"/>
      <c r="P42" s="16"/>
      <c r="Q42" s="16"/>
      <c r="R42" s="16"/>
      <c r="S42" s="21"/>
    </row>
    <row r="43" customFormat="false" ht="18" hidden="false" customHeight="tru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1" t="n">
        <f aca="false">IFERROR((E43-F43)*I43,"")</f>
        <v>0</v>
      </c>
      <c r="K43" s="11" t="str">
        <f aca="false">IFERROR(IF(D43="Long",(H43-E43)*I43,IF(D43="Short",(E43-H43)*I43,"")),"")</f>
        <v/>
      </c>
      <c r="L43" s="12" t="str">
        <f aca="false">IFERROR(IF(D43="Long",(H43-E43)/E43,IF(D43="Short",(E43-H43)/E43,"")),"")</f>
        <v/>
      </c>
      <c r="M43" s="13" t="str">
        <f aca="false">IFERROR(K43/ABS(J43),"")</f>
        <v/>
      </c>
      <c r="N43" s="14" t="str">
        <f aca="false">IFERROR(IF(K43&gt;0,"Win",IF(K43&lt;0,"Loss","Breakeven")),"")</f>
        <v>Win</v>
      </c>
      <c r="O43" s="10"/>
      <c r="P43" s="10"/>
      <c r="Q43" s="10"/>
      <c r="R43" s="10"/>
      <c r="S43" s="15"/>
    </row>
    <row r="44" customFormat="false" ht="18" hidden="false" customHeight="true" outlineLevel="0" collapsed="false">
      <c r="A44" s="16"/>
      <c r="B44" s="16"/>
      <c r="C44" s="16"/>
      <c r="D44" s="16"/>
      <c r="E44" s="16"/>
      <c r="F44" s="16"/>
      <c r="G44" s="16"/>
      <c r="H44" s="16"/>
      <c r="I44" s="16"/>
      <c r="J44" s="17" t="n">
        <f aca="false">IFERROR((E44-F44)*I44,"")</f>
        <v>0</v>
      </c>
      <c r="K44" s="17" t="str">
        <f aca="false">IFERROR(IF(D44="Long",(H44-E44)*I44,IF(D44="Short",(E44-H44)*I44,"")),"")</f>
        <v/>
      </c>
      <c r="L44" s="18" t="str">
        <f aca="false">IFERROR(IF(D44="Long",(H44-E44)/E44,IF(D44="Short",(E44-H44)/E44,"")),"")</f>
        <v/>
      </c>
      <c r="M44" s="19" t="str">
        <f aca="false">IFERROR(K44/ABS(J44),"")</f>
        <v/>
      </c>
      <c r="N44" s="20" t="str">
        <f aca="false">IFERROR(IF(K44&gt;0,"Win",IF(K44&lt;0,"Loss","Breakeven")),"")</f>
        <v>Win</v>
      </c>
      <c r="O44" s="16"/>
      <c r="P44" s="16"/>
      <c r="Q44" s="16"/>
      <c r="R44" s="16"/>
      <c r="S44" s="21"/>
    </row>
    <row r="45" customFormat="false" ht="18" hidden="false" customHeight="tru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1" t="n">
        <f aca="false">IFERROR((E45-F45)*I45,"")</f>
        <v>0</v>
      </c>
      <c r="K45" s="11" t="str">
        <f aca="false">IFERROR(IF(D45="Long",(H45-E45)*I45,IF(D45="Short",(E45-H45)*I45,"")),"")</f>
        <v/>
      </c>
      <c r="L45" s="12" t="str">
        <f aca="false">IFERROR(IF(D45="Long",(H45-E45)/E45,IF(D45="Short",(E45-H45)/E45,"")),"")</f>
        <v/>
      </c>
      <c r="M45" s="13" t="str">
        <f aca="false">IFERROR(K45/ABS(J45),"")</f>
        <v/>
      </c>
      <c r="N45" s="14" t="str">
        <f aca="false">IFERROR(IF(K45&gt;0,"Win",IF(K45&lt;0,"Loss","Breakeven")),"")</f>
        <v>Win</v>
      </c>
      <c r="O45" s="10"/>
      <c r="P45" s="10"/>
      <c r="Q45" s="10"/>
      <c r="R45" s="10"/>
      <c r="S45" s="15"/>
    </row>
    <row r="46" customFormat="false" ht="18" hidden="false" customHeight="tru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7" t="n">
        <f aca="false">IFERROR((E46-F46)*I46,"")</f>
        <v>0</v>
      </c>
      <c r="K46" s="17" t="str">
        <f aca="false">IFERROR(IF(D46="Long",(H46-E46)*I46,IF(D46="Short",(E46-H46)*I46,"")),"")</f>
        <v/>
      </c>
      <c r="L46" s="18" t="str">
        <f aca="false">IFERROR(IF(D46="Long",(H46-E46)/E46,IF(D46="Short",(E46-H46)/E46,"")),"")</f>
        <v/>
      </c>
      <c r="M46" s="19" t="str">
        <f aca="false">IFERROR(K46/ABS(J46),"")</f>
        <v/>
      </c>
      <c r="N46" s="20" t="str">
        <f aca="false">IFERROR(IF(K46&gt;0,"Win",IF(K46&lt;0,"Loss","Breakeven")),"")</f>
        <v>Win</v>
      </c>
      <c r="O46" s="16"/>
      <c r="P46" s="16"/>
      <c r="Q46" s="16"/>
      <c r="R46" s="16"/>
      <c r="S46" s="21"/>
    </row>
    <row r="47" customFormat="false" ht="18" hidden="false" customHeight="tru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1" t="n">
        <f aca="false">IFERROR((E47-F47)*I47,"")</f>
        <v>0</v>
      </c>
      <c r="K47" s="11" t="str">
        <f aca="false">IFERROR(IF(D47="Long",(H47-E47)*I47,IF(D47="Short",(E47-H47)*I47,"")),"")</f>
        <v/>
      </c>
      <c r="L47" s="12" t="str">
        <f aca="false">IFERROR(IF(D47="Long",(H47-E47)/E47,IF(D47="Short",(E47-H47)/E47,"")),"")</f>
        <v/>
      </c>
      <c r="M47" s="13" t="str">
        <f aca="false">IFERROR(K47/ABS(J47),"")</f>
        <v/>
      </c>
      <c r="N47" s="14" t="str">
        <f aca="false">IFERROR(IF(K47&gt;0,"Win",IF(K47&lt;0,"Loss","Breakeven")),"")</f>
        <v>Win</v>
      </c>
      <c r="O47" s="10"/>
      <c r="P47" s="10"/>
      <c r="Q47" s="10"/>
      <c r="R47" s="10"/>
      <c r="S47" s="15"/>
    </row>
    <row r="48" customFormat="false" ht="18" hidden="false" customHeight="true" outlineLevel="0" collapsed="false">
      <c r="A48" s="16"/>
      <c r="B48" s="16"/>
      <c r="C48" s="16"/>
      <c r="D48" s="16"/>
      <c r="E48" s="16"/>
      <c r="F48" s="16"/>
      <c r="G48" s="16"/>
      <c r="H48" s="16"/>
      <c r="I48" s="16"/>
      <c r="J48" s="17" t="n">
        <f aca="false">IFERROR((E48-F48)*I48,"")</f>
        <v>0</v>
      </c>
      <c r="K48" s="17" t="str">
        <f aca="false">IFERROR(IF(D48="Long",(H48-E48)*I48,IF(D48="Short",(E48-H48)*I48,"")),"")</f>
        <v/>
      </c>
      <c r="L48" s="18" t="str">
        <f aca="false">IFERROR(IF(D48="Long",(H48-E48)/E48,IF(D48="Short",(E48-H48)/E48,"")),"")</f>
        <v/>
      </c>
      <c r="M48" s="19" t="str">
        <f aca="false">IFERROR(K48/ABS(J48),"")</f>
        <v/>
      </c>
      <c r="N48" s="20" t="str">
        <f aca="false">IFERROR(IF(K48&gt;0,"Win",IF(K48&lt;0,"Loss","Breakeven")),"")</f>
        <v>Win</v>
      </c>
      <c r="O48" s="16"/>
      <c r="P48" s="16"/>
      <c r="Q48" s="16"/>
      <c r="R48" s="16"/>
      <c r="S48" s="21"/>
    </row>
    <row r="49" customFormat="false" ht="18" hidden="false" customHeight="tru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1" t="n">
        <f aca="false">IFERROR((E49-F49)*I49,"")</f>
        <v>0</v>
      </c>
      <c r="K49" s="11" t="str">
        <f aca="false">IFERROR(IF(D49="Long",(H49-E49)*I49,IF(D49="Short",(E49-H49)*I49,"")),"")</f>
        <v/>
      </c>
      <c r="L49" s="12" t="str">
        <f aca="false">IFERROR(IF(D49="Long",(H49-E49)/E49,IF(D49="Short",(E49-H49)/E49,"")),"")</f>
        <v/>
      </c>
      <c r="M49" s="13" t="str">
        <f aca="false">IFERROR(K49/ABS(J49),"")</f>
        <v/>
      </c>
      <c r="N49" s="14" t="str">
        <f aca="false">IFERROR(IF(K49&gt;0,"Win",IF(K49&lt;0,"Loss","Breakeven")),"")</f>
        <v>Win</v>
      </c>
      <c r="O49" s="10"/>
      <c r="P49" s="10"/>
      <c r="Q49" s="10"/>
      <c r="R49" s="10"/>
      <c r="S49" s="15"/>
    </row>
    <row r="50" customFormat="false" ht="18" hidden="false" customHeight="true" outlineLevel="0" collapsed="false">
      <c r="A50" s="16"/>
      <c r="B50" s="16"/>
      <c r="C50" s="16"/>
      <c r="D50" s="16"/>
      <c r="E50" s="16"/>
      <c r="F50" s="16"/>
      <c r="G50" s="16"/>
      <c r="H50" s="16"/>
      <c r="I50" s="16"/>
      <c r="J50" s="17" t="n">
        <f aca="false">IFERROR((E50-F50)*I50,"")</f>
        <v>0</v>
      </c>
      <c r="K50" s="17" t="str">
        <f aca="false">IFERROR(IF(D50="Long",(H50-E50)*I50,IF(D50="Short",(E50-H50)*I50,"")),"")</f>
        <v/>
      </c>
      <c r="L50" s="18" t="str">
        <f aca="false">IFERROR(IF(D50="Long",(H50-E50)/E50,IF(D50="Short",(E50-H50)/E50,"")),"")</f>
        <v/>
      </c>
      <c r="M50" s="19" t="str">
        <f aca="false">IFERROR(K50/ABS(J50),"")</f>
        <v/>
      </c>
      <c r="N50" s="20" t="str">
        <f aca="false">IFERROR(IF(K50&gt;0,"Win",IF(K50&lt;0,"Loss","Breakeven")),"")</f>
        <v>Win</v>
      </c>
      <c r="O50" s="16"/>
      <c r="P50" s="16"/>
      <c r="Q50" s="16"/>
      <c r="R50" s="16"/>
      <c r="S50" s="21"/>
    </row>
    <row r="51" customFormat="false" ht="18" hidden="false" customHeight="tru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1" t="n">
        <f aca="false">IFERROR((E51-F51)*I51,"")</f>
        <v>0</v>
      </c>
      <c r="K51" s="11" t="str">
        <f aca="false">IFERROR(IF(D51="Long",(H51-E51)*I51,IF(D51="Short",(E51-H51)*I51,"")),"")</f>
        <v/>
      </c>
      <c r="L51" s="12" t="str">
        <f aca="false">IFERROR(IF(D51="Long",(H51-E51)/E51,IF(D51="Short",(E51-H51)/E51,"")),"")</f>
        <v/>
      </c>
      <c r="M51" s="13" t="str">
        <f aca="false">IFERROR(K51/ABS(J51),"")</f>
        <v/>
      </c>
      <c r="N51" s="14" t="str">
        <f aca="false">IFERROR(IF(K51&gt;0,"Win",IF(K51&lt;0,"Loss","Breakeven")),"")</f>
        <v>Win</v>
      </c>
      <c r="O51" s="10"/>
      <c r="P51" s="10"/>
      <c r="Q51" s="10"/>
      <c r="R51" s="10"/>
      <c r="S51" s="15"/>
    </row>
    <row r="52" customFormat="false" ht="18" hidden="false" customHeight="true" outlineLevel="0" collapsed="false">
      <c r="A52" s="16"/>
      <c r="B52" s="16"/>
      <c r="C52" s="16"/>
      <c r="D52" s="16"/>
      <c r="E52" s="16"/>
      <c r="F52" s="16"/>
      <c r="G52" s="16"/>
      <c r="H52" s="16"/>
      <c r="I52" s="16"/>
      <c r="J52" s="17" t="n">
        <f aca="false">IFERROR((E52-F52)*I52,"")</f>
        <v>0</v>
      </c>
      <c r="K52" s="17" t="str">
        <f aca="false">IFERROR(IF(D52="Long",(H52-E52)*I52,IF(D52="Short",(E52-H52)*I52,"")),"")</f>
        <v/>
      </c>
      <c r="L52" s="18" t="str">
        <f aca="false">IFERROR(IF(D52="Long",(H52-E52)/E52,IF(D52="Short",(E52-H52)/E52,"")),"")</f>
        <v/>
      </c>
      <c r="M52" s="19" t="str">
        <f aca="false">IFERROR(K52/ABS(J52),"")</f>
        <v/>
      </c>
      <c r="N52" s="20" t="str">
        <f aca="false">IFERROR(IF(K52&gt;0,"Win",IF(K52&lt;0,"Loss","Breakeven")),"")</f>
        <v>Win</v>
      </c>
      <c r="O52" s="16"/>
      <c r="P52" s="16"/>
      <c r="Q52" s="16"/>
      <c r="R52" s="16"/>
      <c r="S52" s="21"/>
    </row>
    <row r="53" customFormat="false" ht="18" hidden="false" customHeight="tru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1" t="n">
        <f aca="false">IFERROR((E53-F53)*I53,"")</f>
        <v>0</v>
      </c>
      <c r="K53" s="11" t="str">
        <f aca="false">IFERROR(IF(D53="Long",(H53-E53)*I53,IF(D53="Short",(E53-H53)*I53,"")),"")</f>
        <v/>
      </c>
      <c r="L53" s="12" t="str">
        <f aca="false">IFERROR(IF(D53="Long",(H53-E53)/E53,IF(D53="Short",(E53-H53)/E53,"")),"")</f>
        <v/>
      </c>
      <c r="M53" s="13" t="str">
        <f aca="false">IFERROR(K53/ABS(J53),"")</f>
        <v/>
      </c>
      <c r="N53" s="14" t="str">
        <f aca="false">IFERROR(IF(K53&gt;0,"Win",IF(K53&lt;0,"Loss","Breakeven")),"")</f>
        <v>Win</v>
      </c>
      <c r="O53" s="10"/>
      <c r="P53" s="10"/>
      <c r="Q53" s="10"/>
      <c r="R53" s="10"/>
      <c r="S53" s="15"/>
    </row>
    <row r="54" customFormat="false" ht="18" hidden="false" customHeight="true" outlineLevel="0" collapsed="false">
      <c r="A54" s="16"/>
      <c r="B54" s="16"/>
      <c r="C54" s="16"/>
      <c r="D54" s="16"/>
      <c r="E54" s="16"/>
      <c r="F54" s="16"/>
      <c r="G54" s="16"/>
      <c r="H54" s="16"/>
      <c r="I54" s="16"/>
      <c r="J54" s="17" t="n">
        <f aca="false">IFERROR((E54-F54)*I54,"")</f>
        <v>0</v>
      </c>
      <c r="K54" s="17" t="str">
        <f aca="false">IFERROR(IF(D54="Long",(H54-E54)*I54,IF(D54="Short",(E54-H54)*I54,"")),"")</f>
        <v/>
      </c>
      <c r="L54" s="18" t="str">
        <f aca="false">IFERROR(IF(D54="Long",(H54-E54)/E54,IF(D54="Short",(E54-H54)/E54,"")),"")</f>
        <v/>
      </c>
      <c r="M54" s="19" t="str">
        <f aca="false">IFERROR(K54/ABS(J54),"")</f>
        <v/>
      </c>
      <c r="N54" s="20" t="str">
        <f aca="false">IFERROR(IF(K54&gt;0,"Win",IF(K54&lt;0,"Loss","Breakeven")),"")</f>
        <v>Win</v>
      </c>
      <c r="O54" s="16"/>
      <c r="P54" s="16"/>
      <c r="Q54" s="16"/>
      <c r="R54" s="16"/>
      <c r="S54" s="21"/>
    </row>
    <row r="55" customFormat="false" ht="18" hidden="false" customHeight="tru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1" t="n">
        <f aca="false">IFERROR((E55-F55)*I55,"")</f>
        <v>0</v>
      </c>
      <c r="K55" s="11" t="str">
        <f aca="false">IFERROR(IF(D55="Long",(H55-E55)*I55,IF(D55="Short",(E55-H55)*I55,"")),"")</f>
        <v/>
      </c>
      <c r="L55" s="12" t="str">
        <f aca="false">IFERROR(IF(D55="Long",(H55-E55)/E55,IF(D55="Short",(E55-H55)/E55,"")),"")</f>
        <v/>
      </c>
      <c r="M55" s="13" t="str">
        <f aca="false">IFERROR(K55/ABS(J55),"")</f>
        <v/>
      </c>
      <c r="N55" s="14" t="str">
        <f aca="false">IFERROR(IF(K55&gt;0,"Win",IF(K55&lt;0,"Loss","Breakeven")),"")</f>
        <v>Win</v>
      </c>
      <c r="O55" s="10"/>
      <c r="P55" s="10"/>
      <c r="Q55" s="10"/>
      <c r="R55" s="10"/>
      <c r="S55" s="15"/>
    </row>
    <row r="56" customFormat="false" ht="18" hidden="false" customHeight="true" outlineLevel="0" collapsed="false">
      <c r="A56" s="16"/>
      <c r="B56" s="16"/>
      <c r="C56" s="16"/>
      <c r="D56" s="16"/>
      <c r="E56" s="16"/>
      <c r="F56" s="16"/>
      <c r="G56" s="16"/>
      <c r="H56" s="16"/>
      <c r="I56" s="16"/>
      <c r="J56" s="17" t="n">
        <f aca="false">IFERROR((E56-F56)*I56,"")</f>
        <v>0</v>
      </c>
      <c r="K56" s="17" t="str">
        <f aca="false">IFERROR(IF(D56="Long",(H56-E56)*I56,IF(D56="Short",(E56-H56)*I56,"")),"")</f>
        <v/>
      </c>
      <c r="L56" s="18" t="str">
        <f aca="false">IFERROR(IF(D56="Long",(H56-E56)/E56,IF(D56="Short",(E56-H56)/E56,"")),"")</f>
        <v/>
      </c>
      <c r="M56" s="19" t="str">
        <f aca="false">IFERROR(K56/ABS(J56),"")</f>
        <v/>
      </c>
      <c r="N56" s="20" t="str">
        <f aca="false">IFERROR(IF(K56&gt;0,"Win",IF(K56&lt;0,"Loss","Breakeven")),"")</f>
        <v>Win</v>
      </c>
      <c r="O56" s="16"/>
      <c r="P56" s="16"/>
      <c r="Q56" s="16"/>
      <c r="R56" s="16"/>
      <c r="S56" s="21"/>
    </row>
    <row r="57" customFormat="false" ht="18" hidden="false" customHeight="tru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1" t="n">
        <f aca="false">IFERROR((E57-F57)*I57,"")</f>
        <v>0</v>
      </c>
      <c r="K57" s="11" t="str">
        <f aca="false">IFERROR(IF(D57="Long",(H57-E57)*I57,IF(D57="Short",(E57-H57)*I57,"")),"")</f>
        <v/>
      </c>
      <c r="L57" s="12" t="str">
        <f aca="false">IFERROR(IF(D57="Long",(H57-E57)/E57,IF(D57="Short",(E57-H57)/E57,"")),"")</f>
        <v/>
      </c>
      <c r="M57" s="13" t="str">
        <f aca="false">IFERROR(K57/ABS(J57),"")</f>
        <v/>
      </c>
      <c r="N57" s="14" t="str">
        <f aca="false">IFERROR(IF(K57&gt;0,"Win",IF(K57&lt;0,"Loss","Breakeven")),"")</f>
        <v>Win</v>
      </c>
      <c r="O57" s="10"/>
      <c r="P57" s="10"/>
      <c r="Q57" s="10"/>
      <c r="R57" s="10"/>
      <c r="S57" s="15"/>
    </row>
    <row r="58" customFormat="false" ht="18" hidden="false" customHeight="true" outlineLevel="0" collapsed="false">
      <c r="A58" s="16"/>
      <c r="B58" s="16"/>
      <c r="C58" s="16"/>
      <c r="D58" s="16"/>
      <c r="E58" s="16"/>
      <c r="F58" s="16"/>
      <c r="G58" s="16"/>
      <c r="H58" s="16"/>
      <c r="I58" s="16"/>
      <c r="J58" s="17" t="n">
        <f aca="false">IFERROR((E58-F58)*I58,"")</f>
        <v>0</v>
      </c>
      <c r="K58" s="17" t="str">
        <f aca="false">IFERROR(IF(D58="Long",(H58-E58)*I58,IF(D58="Short",(E58-H58)*I58,"")),"")</f>
        <v/>
      </c>
      <c r="L58" s="18" t="str">
        <f aca="false">IFERROR(IF(D58="Long",(H58-E58)/E58,IF(D58="Short",(E58-H58)/E58,"")),"")</f>
        <v/>
      </c>
      <c r="M58" s="19" t="str">
        <f aca="false">IFERROR(K58/ABS(J58),"")</f>
        <v/>
      </c>
      <c r="N58" s="20" t="str">
        <f aca="false">IFERROR(IF(K58&gt;0,"Win",IF(K58&lt;0,"Loss","Breakeven")),"")</f>
        <v>Win</v>
      </c>
      <c r="O58" s="16"/>
      <c r="P58" s="16"/>
      <c r="Q58" s="16"/>
      <c r="R58" s="16"/>
      <c r="S58" s="21"/>
    </row>
    <row r="59" customFormat="false" ht="18" hidden="false" customHeight="tru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1" t="n">
        <f aca="false">IFERROR((E59-F59)*I59,"")</f>
        <v>0</v>
      </c>
      <c r="K59" s="11" t="str">
        <f aca="false">IFERROR(IF(D59="Long",(H59-E59)*I59,IF(D59="Short",(E59-H59)*I59,"")),"")</f>
        <v/>
      </c>
      <c r="L59" s="12" t="str">
        <f aca="false">IFERROR(IF(D59="Long",(H59-E59)/E59,IF(D59="Short",(E59-H59)/E59,"")),"")</f>
        <v/>
      </c>
      <c r="M59" s="13" t="str">
        <f aca="false">IFERROR(K59/ABS(J59),"")</f>
        <v/>
      </c>
      <c r="N59" s="14" t="str">
        <f aca="false">IFERROR(IF(K59&gt;0,"Win",IF(K59&lt;0,"Loss","Breakeven")),"")</f>
        <v>Win</v>
      </c>
      <c r="O59" s="10"/>
      <c r="P59" s="10"/>
      <c r="Q59" s="10"/>
      <c r="R59" s="10"/>
      <c r="S59" s="15"/>
    </row>
    <row r="60" customFormat="false" ht="18" hidden="false" customHeight="true" outlineLevel="0" collapsed="false">
      <c r="A60" s="16"/>
      <c r="B60" s="16"/>
      <c r="C60" s="16"/>
      <c r="D60" s="16"/>
      <c r="E60" s="16"/>
      <c r="F60" s="16"/>
      <c r="G60" s="16"/>
      <c r="H60" s="16"/>
      <c r="I60" s="16"/>
      <c r="J60" s="17" t="n">
        <f aca="false">IFERROR((E60-F60)*I60,"")</f>
        <v>0</v>
      </c>
      <c r="K60" s="17" t="str">
        <f aca="false">IFERROR(IF(D60="Long",(H60-E60)*I60,IF(D60="Short",(E60-H60)*I60,"")),"")</f>
        <v/>
      </c>
      <c r="L60" s="18" t="str">
        <f aca="false">IFERROR(IF(D60="Long",(H60-E60)/E60,IF(D60="Short",(E60-H60)/E60,"")),"")</f>
        <v/>
      </c>
      <c r="M60" s="19" t="str">
        <f aca="false">IFERROR(K60/ABS(J60),"")</f>
        <v/>
      </c>
      <c r="N60" s="20" t="str">
        <f aca="false">IFERROR(IF(K60&gt;0,"Win",IF(K60&lt;0,"Loss","Breakeven")),"")</f>
        <v>Win</v>
      </c>
      <c r="O60" s="16"/>
      <c r="P60" s="16"/>
      <c r="Q60" s="16"/>
      <c r="R60" s="16"/>
      <c r="S60" s="21"/>
    </row>
    <row r="61" customFormat="false" ht="18" hidden="false" customHeight="tru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1" t="n">
        <f aca="false">IFERROR((E61-F61)*I61,"")</f>
        <v>0</v>
      </c>
      <c r="K61" s="11" t="str">
        <f aca="false">IFERROR(IF(D61="Long",(H61-E61)*I61,IF(D61="Short",(E61-H61)*I61,"")),"")</f>
        <v/>
      </c>
      <c r="L61" s="12" t="str">
        <f aca="false">IFERROR(IF(D61="Long",(H61-E61)/E61,IF(D61="Short",(E61-H61)/E61,"")),"")</f>
        <v/>
      </c>
      <c r="M61" s="13" t="str">
        <f aca="false">IFERROR(K61/ABS(J61),"")</f>
        <v/>
      </c>
      <c r="N61" s="14" t="str">
        <f aca="false">IFERROR(IF(K61&gt;0,"Win",IF(K61&lt;0,"Loss","Breakeven")),"")</f>
        <v>Win</v>
      </c>
      <c r="O61" s="10"/>
      <c r="P61" s="10"/>
      <c r="Q61" s="10"/>
      <c r="R61" s="10"/>
      <c r="S61" s="15"/>
    </row>
    <row r="62" customFormat="false" ht="18" hidden="false" customHeight="true" outlineLevel="0" collapsed="false">
      <c r="A62" s="16"/>
      <c r="B62" s="16"/>
      <c r="C62" s="16"/>
      <c r="D62" s="16"/>
      <c r="E62" s="16"/>
      <c r="F62" s="16"/>
      <c r="G62" s="16"/>
      <c r="H62" s="16"/>
      <c r="I62" s="16"/>
      <c r="J62" s="17" t="n">
        <f aca="false">IFERROR((E62-F62)*I62,"")</f>
        <v>0</v>
      </c>
      <c r="K62" s="17" t="str">
        <f aca="false">IFERROR(IF(D62="Long",(H62-E62)*I62,IF(D62="Short",(E62-H62)*I62,"")),"")</f>
        <v/>
      </c>
      <c r="L62" s="18" t="str">
        <f aca="false">IFERROR(IF(D62="Long",(H62-E62)/E62,IF(D62="Short",(E62-H62)/E62,"")),"")</f>
        <v/>
      </c>
      <c r="M62" s="19" t="str">
        <f aca="false">IFERROR(K62/ABS(J62),"")</f>
        <v/>
      </c>
      <c r="N62" s="20" t="str">
        <f aca="false">IFERROR(IF(K62&gt;0,"Win",IF(K62&lt;0,"Loss","Breakeven")),"")</f>
        <v>Win</v>
      </c>
      <c r="O62" s="16"/>
      <c r="P62" s="16"/>
      <c r="Q62" s="16"/>
      <c r="R62" s="16"/>
      <c r="S62" s="21"/>
    </row>
    <row r="63" customFormat="false" ht="18" hidden="false" customHeight="tru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1" t="n">
        <f aca="false">IFERROR((E63-F63)*I63,"")</f>
        <v>0</v>
      </c>
      <c r="K63" s="11" t="str">
        <f aca="false">IFERROR(IF(D63="Long",(H63-E63)*I63,IF(D63="Short",(E63-H63)*I63,"")),"")</f>
        <v/>
      </c>
      <c r="L63" s="12" t="str">
        <f aca="false">IFERROR(IF(D63="Long",(H63-E63)/E63,IF(D63="Short",(E63-H63)/E63,"")),"")</f>
        <v/>
      </c>
      <c r="M63" s="13" t="str">
        <f aca="false">IFERROR(K63/ABS(J63),"")</f>
        <v/>
      </c>
      <c r="N63" s="14" t="str">
        <f aca="false">IFERROR(IF(K63&gt;0,"Win",IF(K63&lt;0,"Loss","Breakeven")),"")</f>
        <v>Win</v>
      </c>
      <c r="O63" s="10"/>
      <c r="P63" s="10"/>
      <c r="Q63" s="10"/>
      <c r="R63" s="10"/>
      <c r="S63" s="15"/>
    </row>
    <row r="64" customFormat="false" ht="18" hidden="false" customHeight="true" outlineLevel="0" collapsed="false">
      <c r="A64" s="16"/>
      <c r="B64" s="16"/>
      <c r="C64" s="16"/>
      <c r="D64" s="16"/>
      <c r="E64" s="16"/>
      <c r="F64" s="16"/>
      <c r="G64" s="16"/>
      <c r="H64" s="16"/>
      <c r="I64" s="16"/>
      <c r="J64" s="17" t="n">
        <f aca="false">IFERROR((E64-F64)*I64,"")</f>
        <v>0</v>
      </c>
      <c r="K64" s="17" t="str">
        <f aca="false">IFERROR(IF(D64="Long",(H64-E64)*I64,IF(D64="Short",(E64-H64)*I64,"")),"")</f>
        <v/>
      </c>
      <c r="L64" s="18" t="str">
        <f aca="false">IFERROR(IF(D64="Long",(H64-E64)/E64,IF(D64="Short",(E64-H64)/E64,"")),"")</f>
        <v/>
      </c>
      <c r="M64" s="19" t="str">
        <f aca="false">IFERROR(K64/ABS(J64),"")</f>
        <v/>
      </c>
      <c r="N64" s="20" t="str">
        <f aca="false">IFERROR(IF(K64&gt;0,"Win",IF(K64&lt;0,"Loss","Breakeven")),"")</f>
        <v>Win</v>
      </c>
      <c r="O64" s="16"/>
      <c r="P64" s="16"/>
      <c r="Q64" s="16"/>
      <c r="R64" s="16"/>
      <c r="S64" s="21"/>
    </row>
    <row r="65" customFormat="false" ht="18" hidden="false" customHeight="tru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1" t="n">
        <f aca="false">IFERROR((E65-F65)*I65,"")</f>
        <v>0</v>
      </c>
      <c r="K65" s="11" t="str">
        <f aca="false">IFERROR(IF(D65="Long",(H65-E65)*I65,IF(D65="Short",(E65-H65)*I65,"")),"")</f>
        <v/>
      </c>
      <c r="L65" s="12" t="str">
        <f aca="false">IFERROR(IF(D65="Long",(H65-E65)/E65,IF(D65="Short",(E65-H65)/E65,"")),"")</f>
        <v/>
      </c>
      <c r="M65" s="13" t="str">
        <f aca="false">IFERROR(K65/ABS(J65),"")</f>
        <v/>
      </c>
      <c r="N65" s="14" t="str">
        <f aca="false">IFERROR(IF(K65&gt;0,"Win",IF(K65&lt;0,"Loss","Breakeven")),"")</f>
        <v>Win</v>
      </c>
      <c r="O65" s="10"/>
      <c r="P65" s="10"/>
      <c r="Q65" s="10"/>
      <c r="R65" s="10"/>
      <c r="S65" s="15"/>
    </row>
    <row r="66" customFormat="false" ht="18" hidden="false" customHeight="true" outlineLevel="0" collapsed="false">
      <c r="A66" s="16"/>
      <c r="B66" s="16"/>
      <c r="C66" s="16"/>
      <c r="D66" s="16"/>
      <c r="E66" s="16"/>
      <c r="F66" s="16"/>
      <c r="G66" s="16"/>
      <c r="H66" s="16"/>
      <c r="I66" s="16"/>
      <c r="J66" s="17" t="n">
        <f aca="false">IFERROR((E66-F66)*I66,"")</f>
        <v>0</v>
      </c>
      <c r="K66" s="17" t="str">
        <f aca="false">IFERROR(IF(D66="Long",(H66-E66)*I66,IF(D66="Short",(E66-H66)*I66,"")),"")</f>
        <v/>
      </c>
      <c r="L66" s="18" t="str">
        <f aca="false">IFERROR(IF(D66="Long",(H66-E66)/E66,IF(D66="Short",(E66-H66)/E66,"")),"")</f>
        <v/>
      </c>
      <c r="M66" s="19" t="str">
        <f aca="false">IFERROR(K66/ABS(J66),"")</f>
        <v/>
      </c>
      <c r="N66" s="20" t="str">
        <f aca="false">IFERROR(IF(K66&gt;0,"Win",IF(K66&lt;0,"Loss","Breakeven")),"")</f>
        <v>Win</v>
      </c>
      <c r="O66" s="16"/>
      <c r="P66" s="16"/>
      <c r="Q66" s="16"/>
      <c r="R66" s="16"/>
      <c r="S66" s="21"/>
    </row>
    <row r="67" customFormat="false" ht="18" hidden="false" customHeight="tru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1" t="n">
        <f aca="false">IFERROR((E67-F67)*I67,"")</f>
        <v>0</v>
      </c>
      <c r="K67" s="11" t="str">
        <f aca="false">IFERROR(IF(D67="Long",(H67-E67)*I67,IF(D67="Short",(E67-H67)*I67,"")),"")</f>
        <v/>
      </c>
      <c r="L67" s="12" t="str">
        <f aca="false">IFERROR(IF(D67="Long",(H67-E67)/E67,IF(D67="Short",(E67-H67)/E67,"")),"")</f>
        <v/>
      </c>
      <c r="M67" s="13" t="str">
        <f aca="false">IFERROR(K67/ABS(J67),"")</f>
        <v/>
      </c>
      <c r="N67" s="14" t="str">
        <f aca="false">IFERROR(IF(K67&gt;0,"Win",IF(K67&lt;0,"Loss","Breakeven")),"")</f>
        <v>Win</v>
      </c>
      <c r="O67" s="10"/>
      <c r="P67" s="10"/>
      <c r="Q67" s="10"/>
      <c r="R67" s="10"/>
      <c r="S67" s="15"/>
    </row>
    <row r="68" customFormat="false" ht="18" hidden="false" customHeight="true" outlineLevel="0" collapsed="false">
      <c r="A68" s="16"/>
      <c r="B68" s="16"/>
      <c r="C68" s="16"/>
      <c r="D68" s="16"/>
      <c r="E68" s="16"/>
      <c r="F68" s="16"/>
      <c r="G68" s="16"/>
      <c r="H68" s="16"/>
      <c r="I68" s="16"/>
      <c r="J68" s="17" t="n">
        <f aca="false">IFERROR((E68-F68)*I68,"")</f>
        <v>0</v>
      </c>
      <c r="K68" s="17" t="str">
        <f aca="false">IFERROR(IF(D68="Long",(H68-E68)*I68,IF(D68="Short",(E68-H68)*I68,"")),"")</f>
        <v/>
      </c>
      <c r="L68" s="18" t="str">
        <f aca="false">IFERROR(IF(D68="Long",(H68-E68)/E68,IF(D68="Short",(E68-H68)/E68,"")),"")</f>
        <v/>
      </c>
      <c r="M68" s="19" t="str">
        <f aca="false">IFERROR(K68/ABS(J68),"")</f>
        <v/>
      </c>
      <c r="N68" s="20" t="str">
        <f aca="false">IFERROR(IF(K68&gt;0,"Win",IF(K68&lt;0,"Loss","Breakeven")),"")</f>
        <v>Win</v>
      </c>
      <c r="O68" s="16"/>
      <c r="P68" s="16"/>
      <c r="Q68" s="16"/>
      <c r="R68" s="16"/>
      <c r="S68" s="21"/>
    </row>
    <row r="69" customFormat="false" ht="18" hidden="false" customHeight="tru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1" t="n">
        <f aca="false">IFERROR((E69-F69)*I69,"")</f>
        <v>0</v>
      </c>
      <c r="K69" s="11" t="str">
        <f aca="false">IFERROR(IF(D69="Long",(H69-E69)*I69,IF(D69="Short",(E69-H69)*I69,"")),"")</f>
        <v/>
      </c>
      <c r="L69" s="12" t="str">
        <f aca="false">IFERROR(IF(D69="Long",(H69-E69)/E69,IF(D69="Short",(E69-H69)/E69,"")),"")</f>
        <v/>
      </c>
      <c r="M69" s="13" t="str">
        <f aca="false">IFERROR(K69/ABS(J69),"")</f>
        <v/>
      </c>
      <c r="N69" s="14" t="str">
        <f aca="false">IFERROR(IF(K69&gt;0,"Win",IF(K69&lt;0,"Loss","Breakeven")),"")</f>
        <v>Win</v>
      </c>
      <c r="O69" s="10"/>
      <c r="P69" s="10"/>
      <c r="Q69" s="10"/>
      <c r="R69" s="10"/>
      <c r="S69" s="15"/>
    </row>
    <row r="70" customFormat="false" ht="18" hidden="false" customHeight="true" outlineLevel="0" collapsed="false">
      <c r="A70" s="16"/>
      <c r="B70" s="16"/>
      <c r="C70" s="16"/>
      <c r="D70" s="16"/>
      <c r="E70" s="16"/>
      <c r="F70" s="16"/>
      <c r="G70" s="16"/>
      <c r="H70" s="16"/>
      <c r="I70" s="16"/>
      <c r="J70" s="17" t="n">
        <f aca="false">IFERROR((E70-F70)*I70,"")</f>
        <v>0</v>
      </c>
      <c r="K70" s="17" t="str">
        <f aca="false">IFERROR(IF(D70="Long",(H70-E70)*I70,IF(D70="Short",(E70-H70)*I70,"")),"")</f>
        <v/>
      </c>
      <c r="L70" s="18" t="str">
        <f aca="false">IFERROR(IF(D70="Long",(H70-E70)/E70,IF(D70="Short",(E70-H70)/E70,"")),"")</f>
        <v/>
      </c>
      <c r="M70" s="19" t="str">
        <f aca="false">IFERROR(K70/ABS(J70),"")</f>
        <v/>
      </c>
      <c r="N70" s="20" t="str">
        <f aca="false">IFERROR(IF(K70&gt;0,"Win",IF(K70&lt;0,"Loss","Breakeven")),"")</f>
        <v>Win</v>
      </c>
      <c r="O70" s="16"/>
      <c r="P70" s="16"/>
      <c r="Q70" s="16"/>
      <c r="R70" s="16"/>
      <c r="S70" s="21"/>
    </row>
    <row r="71" customFormat="false" ht="18" hidden="false" customHeight="tru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1" t="n">
        <f aca="false">IFERROR((E71-F71)*I71,"")</f>
        <v>0</v>
      </c>
      <c r="K71" s="11" t="str">
        <f aca="false">IFERROR(IF(D71="Long",(H71-E71)*I71,IF(D71="Short",(E71-H71)*I71,"")),"")</f>
        <v/>
      </c>
      <c r="L71" s="12" t="str">
        <f aca="false">IFERROR(IF(D71="Long",(H71-E71)/E71,IF(D71="Short",(E71-H71)/E71,"")),"")</f>
        <v/>
      </c>
      <c r="M71" s="13" t="str">
        <f aca="false">IFERROR(K71/ABS(J71),"")</f>
        <v/>
      </c>
      <c r="N71" s="14" t="str">
        <f aca="false">IFERROR(IF(K71&gt;0,"Win",IF(K71&lt;0,"Loss","Breakeven")),"")</f>
        <v>Win</v>
      </c>
      <c r="O71" s="10"/>
      <c r="P71" s="10"/>
      <c r="Q71" s="10"/>
      <c r="R71" s="10"/>
      <c r="S71" s="15"/>
    </row>
    <row r="72" customFormat="false" ht="18" hidden="false" customHeight="true" outlineLevel="0" collapsed="false">
      <c r="A72" s="16"/>
      <c r="B72" s="16"/>
      <c r="C72" s="16"/>
      <c r="D72" s="16"/>
      <c r="E72" s="16"/>
      <c r="F72" s="16"/>
      <c r="G72" s="16"/>
      <c r="H72" s="16"/>
      <c r="I72" s="16"/>
      <c r="J72" s="17" t="n">
        <f aca="false">IFERROR((E72-F72)*I72,"")</f>
        <v>0</v>
      </c>
      <c r="K72" s="17" t="str">
        <f aca="false">IFERROR(IF(D72="Long",(H72-E72)*I72,IF(D72="Short",(E72-H72)*I72,"")),"")</f>
        <v/>
      </c>
      <c r="L72" s="18" t="str">
        <f aca="false">IFERROR(IF(D72="Long",(H72-E72)/E72,IF(D72="Short",(E72-H72)/E72,"")),"")</f>
        <v/>
      </c>
      <c r="M72" s="19" t="str">
        <f aca="false">IFERROR(K72/ABS(J72),"")</f>
        <v/>
      </c>
      <c r="N72" s="20" t="str">
        <f aca="false">IFERROR(IF(K72&gt;0,"Win",IF(K72&lt;0,"Loss","Breakeven")),"")</f>
        <v>Win</v>
      </c>
      <c r="O72" s="16"/>
      <c r="P72" s="16"/>
      <c r="Q72" s="16"/>
      <c r="R72" s="16"/>
      <c r="S72" s="21"/>
    </row>
    <row r="73" customFormat="false" ht="18" hidden="false" customHeight="tru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1" t="n">
        <f aca="false">IFERROR((E73-F73)*I73,"")</f>
        <v>0</v>
      </c>
      <c r="K73" s="11" t="str">
        <f aca="false">IFERROR(IF(D73="Long",(H73-E73)*I73,IF(D73="Short",(E73-H73)*I73,"")),"")</f>
        <v/>
      </c>
      <c r="L73" s="12" t="str">
        <f aca="false">IFERROR(IF(D73="Long",(H73-E73)/E73,IF(D73="Short",(E73-H73)/E73,"")),"")</f>
        <v/>
      </c>
      <c r="M73" s="13" t="str">
        <f aca="false">IFERROR(K73/ABS(J73),"")</f>
        <v/>
      </c>
      <c r="N73" s="14" t="str">
        <f aca="false">IFERROR(IF(K73&gt;0,"Win",IF(K73&lt;0,"Loss","Breakeven")),"")</f>
        <v>Win</v>
      </c>
      <c r="O73" s="10"/>
      <c r="P73" s="10"/>
      <c r="Q73" s="10"/>
      <c r="R73" s="10"/>
      <c r="S73" s="15"/>
    </row>
    <row r="74" customFormat="false" ht="18" hidden="false" customHeight="true" outlineLevel="0" collapsed="false">
      <c r="A74" s="16"/>
      <c r="B74" s="16"/>
      <c r="C74" s="16"/>
      <c r="D74" s="16"/>
      <c r="E74" s="16"/>
      <c r="F74" s="16"/>
      <c r="G74" s="16"/>
      <c r="H74" s="16"/>
      <c r="I74" s="16"/>
      <c r="J74" s="17" t="n">
        <f aca="false">IFERROR((E74-F74)*I74,"")</f>
        <v>0</v>
      </c>
      <c r="K74" s="17" t="str">
        <f aca="false">IFERROR(IF(D74="Long",(H74-E74)*I74,IF(D74="Short",(E74-H74)*I74,"")),"")</f>
        <v/>
      </c>
      <c r="L74" s="18" t="str">
        <f aca="false">IFERROR(IF(D74="Long",(H74-E74)/E74,IF(D74="Short",(E74-H74)/E74,"")),"")</f>
        <v/>
      </c>
      <c r="M74" s="19" t="str">
        <f aca="false">IFERROR(K74/ABS(J74),"")</f>
        <v/>
      </c>
      <c r="N74" s="20" t="str">
        <f aca="false">IFERROR(IF(K74&gt;0,"Win",IF(K74&lt;0,"Loss","Breakeven")),"")</f>
        <v>Win</v>
      </c>
      <c r="O74" s="16"/>
      <c r="P74" s="16"/>
      <c r="Q74" s="16"/>
      <c r="R74" s="16"/>
      <c r="S74" s="21"/>
    </row>
    <row r="75" customFormat="false" ht="18" hidden="false" customHeight="tru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1" t="n">
        <f aca="false">IFERROR((E75-F75)*I75,"")</f>
        <v>0</v>
      </c>
      <c r="K75" s="11" t="str">
        <f aca="false">IFERROR(IF(D75="Long",(H75-E75)*I75,IF(D75="Short",(E75-H75)*I75,"")),"")</f>
        <v/>
      </c>
      <c r="L75" s="12" t="str">
        <f aca="false">IFERROR(IF(D75="Long",(H75-E75)/E75,IF(D75="Short",(E75-H75)/E75,"")),"")</f>
        <v/>
      </c>
      <c r="M75" s="13" t="str">
        <f aca="false">IFERROR(K75/ABS(J75),"")</f>
        <v/>
      </c>
      <c r="N75" s="14" t="str">
        <f aca="false">IFERROR(IF(K75&gt;0,"Win",IF(K75&lt;0,"Loss","Breakeven")),"")</f>
        <v>Win</v>
      </c>
      <c r="O75" s="10"/>
      <c r="P75" s="10"/>
      <c r="Q75" s="10"/>
      <c r="R75" s="10"/>
      <c r="S75" s="15"/>
    </row>
    <row r="76" customFormat="false" ht="18" hidden="false" customHeight="true" outlineLevel="0" collapsed="false">
      <c r="A76" s="16"/>
      <c r="B76" s="16"/>
      <c r="C76" s="16"/>
      <c r="D76" s="16"/>
      <c r="E76" s="16"/>
      <c r="F76" s="16"/>
      <c r="G76" s="16"/>
      <c r="H76" s="16"/>
      <c r="I76" s="16"/>
      <c r="J76" s="17" t="n">
        <f aca="false">IFERROR((E76-F76)*I76,"")</f>
        <v>0</v>
      </c>
      <c r="K76" s="17" t="str">
        <f aca="false">IFERROR(IF(D76="Long",(H76-E76)*I76,IF(D76="Short",(E76-H76)*I76,"")),"")</f>
        <v/>
      </c>
      <c r="L76" s="18" t="str">
        <f aca="false">IFERROR(IF(D76="Long",(H76-E76)/E76,IF(D76="Short",(E76-H76)/E76,"")),"")</f>
        <v/>
      </c>
      <c r="M76" s="19" t="str">
        <f aca="false">IFERROR(K76/ABS(J76),"")</f>
        <v/>
      </c>
      <c r="N76" s="20" t="str">
        <f aca="false">IFERROR(IF(K76&gt;0,"Win",IF(K76&lt;0,"Loss","Breakeven")),"")</f>
        <v>Win</v>
      </c>
      <c r="O76" s="16"/>
      <c r="P76" s="16"/>
      <c r="Q76" s="16"/>
      <c r="R76" s="16"/>
      <c r="S76" s="21"/>
    </row>
    <row r="77" customFormat="false" ht="18" hidden="false" customHeight="tru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1" t="n">
        <f aca="false">IFERROR((E77-F77)*I77,"")</f>
        <v>0</v>
      </c>
      <c r="K77" s="11" t="str">
        <f aca="false">IFERROR(IF(D77="Long",(H77-E77)*I77,IF(D77="Short",(E77-H77)*I77,"")),"")</f>
        <v/>
      </c>
      <c r="L77" s="12" t="str">
        <f aca="false">IFERROR(IF(D77="Long",(H77-E77)/E77,IF(D77="Short",(E77-H77)/E77,"")),"")</f>
        <v/>
      </c>
      <c r="M77" s="13" t="str">
        <f aca="false">IFERROR(K77/ABS(J77),"")</f>
        <v/>
      </c>
      <c r="N77" s="14" t="str">
        <f aca="false">IFERROR(IF(K77&gt;0,"Win",IF(K77&lt;0,"Loss","Breakeven")),"")</f>
        <v>Win</v>
      </c>
      <c r="O77" s="10"/>
      <c r="P77" s="10"/>
      <c r="Q77" s="10"/>
      <c r="R77" s="10"/>
      <c r="S77" s="15"/>
    </row>
    <row r="78" customFormat="false" ht="18" hidden="false" customHeight="true" outlineLevel="0" collapsed="false">
      <c r="A78" s="16"/>
      <c r="B78" s="16"/>
      <c r="C78" s="16"/>
      <c r="D78" s="16"/>
      <c r="E78" s="16"/>
      <c r="F78" s="16"/>
      <c r="G78" s="16"/>
      <c r="H78" s="16"/>
      <c r="I78" s="16"/>
      <c r="J78" s="17" t="n">
        <f aca="false">IFERROR((E78-F78)*I78,"")</f>
        <v>0</v>
      </c>
      <c r="K78" s="17" t="str">
        <f aca="false">IFERROR(IF(D78="Long",(H78-E78)*I78,IF(D78="Short",(E78-H78)*I78,"")),"")</f>
        <v/>
      </c>
      <c r="L78" s="18" t="str">
        <f aca="false">IFERROR(IF(D78="Long",(H78-E78)/E78,IF(D78="Short",(E78-H78)/E78,"")),"")</f>
        <v/>
      </c>
      <c r="M78" s="19" t="str">
        <f aca="false">IFERROR(K78/ABS(J78),"")</f>
        <v/>
      </c>
      <c r="N78" s="20" t="str">
        <f aca="false">IFERROR(IF(K78&gt;0,"Win",IF(K78&lt;0,"Loss","Breakeven")),"")</f>
        <v>Win</v>
      </c>
      <c r="O78" s="16"/>
      <c r="P78" s="16"/>
      <c r="Q78" s="16"/>
      <c r="R78" s="16"/>
      <c r="S78" s="21"/>
    </row>
    <row r="79" customFormat="false" ht="18" hidden="false" customHeight="tru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1" t="n">
        <f aca="false">IFERROR((E79-F79)*I79,"")</f>
        <v>0</v>
      </c>
      <c r="K79" s="11" t="str">
        <f aca="false">IFERROR(IF(D79="Long",(H79-E79)*I79,IF(D79="Short",(E79-H79)*I79,"")),"")</f>
        <v/>
      </c>
      <c r="L79" s="12" t="str">
        <f aca="false">IFERROR(IF(D79="Long",(H79-E79)/E79,IF(D79="Short",(E79-H79)/E79,"")),"")</f>
        <v/>
      </c>
      <c r="M79" s="13" t="str">
        <f aca="false">IFERROR(K79/ABS(J79),"")</f>
        <v/>
      </c>
      <c r="N79" s="14" t="str">
        <f aca="false">IFERROR(IF(K79&gt;0,"Win",IF(K79&lt;0,"Loss","Breakeven")),"")</f>
        <v>Win</v>
      </c>
      <c r="O79" s="10"/>
      <c r="P79" s="10"/>
      <c r="Q79" s="10"/>
      <c r="R79" s="10"/>
      <c r="S79" s="15"/>
    </row>
    <row r="80" customFormat="false" ht="18" hidden="false" customHeight="true" outlineLevel="0" collapsed="false">
      <c r="A80" s="16"/>
      <c r="B80" s="16"/>
      <c r="C80" s="16"/>
      <c r="D80" s="16"/>
      <c r="E80" s="16"/>
      <c r="F80" s="16"/>
      <c r="G80" s="16"/>
      <c r="H80" s="16"/>
      <c r="I80" s="16"/>
      <c r="J80" s="17" t="n">
        <f aca="false">IFERROR((E80-F80)*I80,"")</f>
        <v>0</v>
      </c>
      <c r="K80" s="17" t="str">
        <f aca="false">IFERROR(IF(D80="Long",(H80-E80)*I80,IF(D80="Short",(E80-H80)*I80,"")),"")</f>
        <v/>
      </c>
      <c r="L80" s="18" t="str">
        <f aca="false">IFERROR(IF(D80="Long",(H80-E80)/E80,IF(D80="Short",(E80-H80)/E80,"")),"")</f>
        <v/>
      </c>
      <c r="M80" s="19" t="str">
        <f aca="false">IFERROR(K80/ABS(J80),"")</f>
        <v/>
      </c>
      <c r="N80" s="20" t="str">
        <f aca="false">IFERROR(IF(K80&gt;0,"Win",IF(K80&lt;0,"Loss","Breakeven")),"")</f>
        <v>Win</v>
      </c>
      <c r="O80" s="16"/>
      <c r="P80" s="16"/>
      <c r="Q80" s="16"/>
      <c r="R80" s="16"/>
      <c r="S80" s="21"/>
    </row>
    <row r="81" customFormat="false" ht="18" hidden="false" customHeight="tru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1" t="n">
        <f aca="false">IFERROR((E81-F81)*I81,"")</f>
        <v>0</v>
      </c>
      <c r="K81" s="11" t="str">
        <f aca="false">IFERROR(IF(D81="Long",(H81-E81)*I81,IF(D81="Short",(E81-H81)*I81,"")),"")</f>
        <v/>
      </c>
      <c r="L81" s="12" t="str">
        <f aca="false">IFERROR(IF(D81="Long",(H81-E81)/E81,IF(D81="Short",(E81-H81)/E81,"")),"")</f>
        <v/>
      </c>
      <c r="M81" s="13" t="str">
        <f aca="false">IFERROR(K81/ABS(J81),"")</f>
        <v/>
      </c>
      <c r="N81" s="14" t="str">
        <f aca="false">IFERROR(IF(K81&gt;0,"Win",IF(K81&lt;0,"Loss","Breakeven")),"")</f>
        <v>Win</v>
      </c>
      <c r="O81" s="10"/>
      <c r="P81" s="10"/>
      <c r="Q81" s="10"/>
      <c r="R81" s="10"/>
      <c r="S81" s="15"/>
    </row>
    <row r="82" customFormat="false" ht="18" hidden="false" customHeight="true" outlineLevel="0" collapsed="false">
      <c r="A82" s="16"/>
      <c r="B82" s="16"/>
      <c r="C82" s="16"/>
      <c r="D82" s="16"/>
      <c r="E82" s="16"/>
      <c r="F82" s="16"/>
      <c r="G82" s="16"/>
      <c r="H82" s="16"/>
      <c r="I82" s="16"/>
      <c r="J82" s="17" t="n">
        <f aca="false">IFERROR((E82-F82)*I82,"")</f>
        <v>0</v>
      </c>
      <c r="K82" s="17" t="str">
        <f aca="false">IFERROR(IF(D82="Long",(H82-E82)*I82,IF(D82="Short",(E82-H82)*I82,"")),"")</f>
        <v/>
      </c>
      <c r="L82" s="18" t="str">
        <f aca="false">IFERROR(IF(D82="Long",(H82-E82)/E82,IF(D82="Short",(E82-H82)/E82,"")),"")</f>
        <v/>
      </c>
      <c r="M82" s="19" t="str">
        <f aca="false">IFERROR(K82/ABS(J82),"")</f>
        <v/>
      </c>
      <c r="N82" s="20" t="str">
        <f aca="false">IFERROR(IF(K82&gt;0,"Win",IF(K82&lt;0,"Loss","Breakeven")),"")</f>
        <v>Win</v>
      </c>
      <c r="O82" s="16"/>
      <c r="P82" s="16"/>
      <c r="Q82" s="16"/>
      <c r="R82" s="16"/>
      <c r="S82" s="21"/>
    </row>
    <row r="83" customFormat="false" ht="18" hidden="false" customHeight="tru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1" t="n">
        <f aca="false">IFERROR((E83-F83)*I83,"")</f>
        <v>0</v>
      </c>
      <c r="K83" s="11" t="str">
        <f aca="false">IFERROR(IF(D83="Long",(H83-E83)*I83,IF(D83="Short",(E83-H83)*I83,"")),"")</f>
        <v/>
      </c>
      <c r="L83" s="12" t="str">
        <f aca="false">IFERROR(IF(D83="Long",(H83-E83)/E83,IF(D83="Short",(E83-H83)/E83,"")),"")</f>
        <v/>
      </c>
      <c r="M83" s="13" t="str">
        <f aca="false">IFERROR(K83/ABS(J83),"")</f>
        <v/>
      </c>
      <c r="N83" s="14" t="str">
        <f aca="false">IFERROR(IF(K83&gt;0,"Win",IF(K83&lt;0,"Loss","Breakeven")),"")</f>
        <v>Win</v>
      </c>
      <c r="O83" s="10"/>
      <c r="P83" s="10"/>
      <c r="Q83" s="10"/>
      <c r="R83" s="10"/>
      <c r="S83" s="15"/>
    </row>
    <row r="84" customFormat="false" ht="18" hidden="false" customHeight="true" outlineLevel="0" collapsed="false">
      <c r="A84" s="16"/>
      <c r="B84" s="16"/>
      <c r="C84" s="16"/>
      <c r="D84" s="16"/>
      <c r="E84" s="16"/>
      <c r="F84" s="16"/>
      <c r="G84" s="16"/>
      <c r="H84" s="16"/>
      <c r="I84" s="16"/>
      <c r="J84" s="17" t="n">
        <f aca="false">IFERROR((E84-F84)*I84,"")</f>
        <v>0</v>
      </c>
      <c r="K84" s="17" t="str">
        <f aca="false">IFERROR(IF(D84="Long",(H84-E84)*I84,IF(D84="Short",(E84-H84)*I84,"")),"")</f>
        <v/>
      </c>
      <c r="L84" s="18" t="str">
        <f aca="false">IFERROR(IF(D84="Long",(H84-E84)/E84,IF(D84="Short",(E84-H84)/E84,"")),"")</f>
        <v/>
      </c>
      <c r="M84" s="19" t="str">
        <f aca="false">IFERROR(K84/ABS(J84),"")</f>
        <v/>
      </c>
      <c r="N84" s="20" t="str">
        <f aca="false">IFERROR(IF(K84&gt;0,"Win",IF(K84&lt;0,"Loss","Breakeven")),"")</f>
        <v>Win</v>
      </c>
      <c r="O84" s="16"/>
      <c r="P84" s="16"/>
      <c r="Q84" s="16"/>
      <c r="R84" s="16"/>
      <c r="S84" s="21"/>
    </row>
    <row r="85" customFormat="false" ht="18" hidden="false" customHeight="tru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1" t="n">
        <f aca="false">IFERROR((E85-F85)*I85,"")</f>
        <v>0</v>
      </c>
      <c r="K85" s="11" t="str">
        <f aca="false">IFERROR(IF(D85="Long",(H85-E85)*I85,IF(D85="Short",(E85-H85)*I85,"")),"")</f>
        <v/>
      </c>
      <c r="L85" s="12" t="str">
        <f aca="false">IFERROR(IF(D85="Long",(H85-E85)/E85,IF(D85="Short",(E85-H85)/E85,"")),"")</f>
        <v/>
      </c>
      <c r="M85" s="13" t="str">
        <f aca="false">IFERROR(K85/ABS(J85),"")</f>
        <v/>
      </c>
      <c r="N85" s="14" t="str">
        <f aca="false">IFERROR(IF(K85&gt;0,"Win",IF(K85&lt;0,"Loss","Breakeven")),"")</f>
        <v>Win</v>
      </c>
      <c r="O85" s="10"/>
      <c r="P85" s="10"/>
      <c r="Q85" s="10"/>
      <c r="R85" s="10"/>
      <c r="S85" s="15"/>
    </row>
    <row r="86" customFormat="false" ht="18" hidden="false" customHeight="true" outlineLevel="0" collapsed="false">
      <c r="A86" s="16"/>
      <c r="B86" s="16"/>
      <c r="C86" s="16"/>
      <c r="D86" s="16"/>
      <c r="E86" s="16"/>
      <c r="F86" s="16"/>
      <c r="G86" s="16"/>
      <c r="H86" s="16"/>
      <c r="I86" s="16"/>
      <c r="J86" s="17" t="n">
        <f aca="false">IFERROR((E86-F86)*I86,"")</f>
        <v>0</v>
      </c>
      <c r="K86" s="17" t="str">
        <f aca="false">IFERROR(IF(D86="Long",(H86-E86)*I86,IF(D86="Short",(E86-H86)*I86,"")),"")</f>
        <v/>
      </c>
      <c r="L86" s="18" t="str">
        <f aca="false">IFERROR(IF(D86="Long",(H86-E86)/E86,IF(D86="Short",(E86-H86)/E86,"")),"")</f>
        <v/>
      </c>
      <c r="M86" s="19" t="str">
        <f aca="false">IFERROR(K86/ABS(J86),"")</f>
        <v/>
      </c>
      <c r="N86" s="20" t="str">
        <f aca="false">IFERROR(IF(K86&gt;0,"Win",IF(K86&lt;0,"Loss","Breakeven")),"")</f>
        <v>Win</v>
      </c>
      <c r="O86" s="16"/>
      <c r="P86" s="16"/>
      <c r="Q86" s="16"/>
      <c r="R86" s="16"/>
      <c r="S86" s="21"/>
    </row>
    <row r="87" customFormat="false" ht="18" hidden="false" customHeight="tru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1" t="n">
        <f aca="false">IFERROR((E87-F87)*I87,"")</f>
        <v>0</v>
      </c>
      <c r="K87" s="11" t="str">
        <f aca="false">IFERROR(IF(D87="Long",(H87-E87)*I87,IF(D87="Short",(E87-H87)*I87,"")),"")</f>
        <v/>
      </c>
      <c r="L87" s="12" t="str">
        <f aca="false">IFERROR(IF(D87="Long",(H87-E87)/E87,IF(D87="Short",(E87-H87)/E87,"")),"")</f>
        <v/>
      </c>
      <c r="M87" s="13" t="str">
        <f aca="false">IFERROR(K87/ABS(J87),"")</f>
        <v/>
      </c>
      <c r="N87" s="14" t="str">
        <f aca="false">IFERROR(IF(K87&gt;0,"Win",IF(K87&lt;0,"Loss","Breakeven")),"")</f>
        <v>Win</v>
      </c>
      <c r="O87" s="10"/>
      <c r="P87" s="10"/>
      <c r="Q87" s="10"/>
      <c r="R87" s="10"/>
      <c r="S87" s="15"/>
    </row>
    <row r="88" customFormat="false" ht="18" hidden="false" customHeight="true" outlineLevel="0" collapsed="false">
      <c r="A88" s="16"/>
      <c r="B88" s="16"/>
      <c r="C88" s="16"/>
      <c r="D88" s="16"/>
      <c r="E88" s="16"/>
      <c r="F88" s="16"/>
      <c r="G88" s="16"/>
      <c r="H88" s="16"/>
      <c r="I88" s="16"/>
      <c r="J88" s="17" t="n">
        <f aca="false">IFERROR((E88-F88)*I88,"")</f>
        <v>0</v>
      </c>
      <c r="K88" s="17" t="str">
        <f aca="false">IFERROR(IF(D88="Long",(H88-E88)*I88,IF(D88="Short",(E88-H88)*I88,"")),"")</f>
        <v/>
      </c>
      <c r="L88" s="18" t="str">
        <f aca="false">IFERROR(IF(D88="Long",(H88-E88)/E88,IF(D88="Short",(E88-H88)/E88,"")),"")</f>
        <v/>
      </c>
      <c r="M88" s="19" t="str">
        <f aca="false">IFERROR(K88/ABS(J88),"")</f>
        <v/>
      </c>
      <c r="N88" s="20" t="str">
        <f aca="false">IFERROR(IF(K88&gt;0,"Win",IF(K88&lt;0,"Loss","Breakeven")),"")</f>
        <v>Win</v>
      </c>
      <c r="O88" s="16"/>
      <c r="P88" s="16"/>
      <c r="Q88" s="16"/>
      <c r="R88" s="16"/>
      <c r="S88" s="21"/>
    </row>
    <row r="89" customFormat="false" ht="18" hidden="false" customHeight="tru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1" t="n">
        <f aca="false">IFERROR((E89-F89)*I89,"")</f>
        <v>0</v>
      </c>
      <c r="K89" s="11" t="str">
        <f aca="false">IFERROR(IF(D89="Long",(H89-E89)*I89,IF(D89="Short",(E89-H89)*I89,"")),"")</f>
        <v/>
      </c>
      <c r="L89" s="12" t="str">
        <f aca="false">IFERROR(IF(D89="Long",(H89-E89)/E89,IF(D89="Short",(E89-H89)/E89,"")),"")</f>
        <v/>
      </c>
      <c r="M89" s="13" t="str">
        <f aca="false">IFERROR(K89/ABS(J89),"")</f>
        <v/>
      </c>
      <c r="N89" s="14" t="str">
        <f aca="false">IFERROR(IF(K89&gt;0,"Win",IF(K89&lt;0,"Loss","Breakeven")),"")</f>
        <v>Win</v>
      </c>
      <c r="O89" s="10"/>
      <c r="P89" s="10"/>
      <c r="Q89" s="10"/>
      <c r="R89" s="10"/>
      <c r="S89" s="15"/>
    </row>
    <row r="90" customFormat="false" ht="18" hidden="false" customHeight="true" outlineLevel="0" collapsed="false">
      <c r="A90" s="16"/>
      <c r="B90" s="16"/>
      <c r="C90" s="16"/>
      <c r="D90" s="16"/>
      <c r="E90" s="16"/>
      <c r="F90" s="16"/>
      <c r="G90" s="16"/>
      <c r="H90" s="16"/>
      <c r="I90" s="16"/>
      <c r="J90" s="17" t="n">
        <f aca="false">IFERROR((E90-F90)*I90,"")</f>
        <v>0</v>
      </c>
      <c r="K90" s="17" t="str">
        <f aca="false">IFERROR(IF(D90="Long",(H90-E90)*I90,IF(D90="Short",(E90-H90)*I90,"")),"")</f>
        <v/>
      </c>
      <c r="L90" s="18" t="str">
        <f aca="false">IFERROR(IF(D90="Long",(H90-E90)/E90,IF(D90="Short",(E90-H90)/E90,"")),"")</f>
        <v/>
      </c>
      <c r="M90" s="19" t="str">
        <f aca="false">IFERROR(K90/ABS(J90),"")</f>
        <v/>
      </c>
      <c r="N90" s="20" t="str">
        <f aca="false">IFERROR(IF(K90&gt;0,"Win",IF(K90&lt;0,"Loss","Breakeven")),"")</f>
        <v>Win</v>
      </c>
      <c r="O90" s="16"/>
      <c r="P90" s="16"/>
      <c r="Q90" s="16"/>
      <c r="R90" s="16"/>
      <c r="S90" s="21"/>
    </row>
    <row r="91" customFormat="false" ht="18" hidden="false" customHeight="tru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1" t="n">
        <f aca="false">IFERROR((E91-F91)*I91,"")</f>
        <v>0</v>
      </c>
      <c r="K91" s="11" t="str">
        <f aca="false">IFERROR(IF(D91="Long",(H91-E91)*I91,IF(D91="Short",(E91-H91)*I91,"")),"")</f>
        <v/>
      </c>
      <c r="L91" s="12" t="str">
        <f aca="false">IFERROR(IF(D91="Long",(H91-E91)/E91,IF(D91="Short",(E91-H91)/E91,"")),"")</f>
        <v/>
      </c>
      <c r="M91" s="13" t="str">
        <f aca="false">IFERROR(K91/ABS(J91),"")</f>
        <v/>
      </c>
      <c r="N91" s="14" t="str">
        <f aca="false">IFERROR(IF(K91&gt;0,"Win",IF(K91&lt;0,"Loss","Breakeven")),"")</f>
        <v>Win</v>
      </c>
      <c r="O91" s="10"/>
      <c r="P91" s="10"/>
      <c r="Q91" s="10"/>
      <c r="R91" s="10"/>
      <c r="S91" s="15"/>
    </row>
    <row r="92" customFormat="false" ht="18" hidden="false" customHeight="true" outlineLevel="0" collapsed="false">
      <c r="A92" s="16"/>
      <c r="B92" s="16"/>
      <c r="C92" s="16"/>
      <c r="D92" s="16"/>
      <c r="E92" s="16"/>
      <c r="F92" s="16"/>
      <c r="G92" s="16"/>
      <c r="H92" s="16"/>
      <c r="I92" s="16"/>
      <c r="J92" s="17" t="n">
        <f aca="false">IFERROR((E92-F92)*I92,"")</f>
        <v>0</v>
      </c>
      <c r="K92" s="17" t="str">
        <f aca="false">IFERROR(IF(D92="Long",(H92-E92)*I92,IF(D92="Short",(E92-H92)*I92,"")),"")</f>
        <v/>
      </c>
      <c r="L92" s="18" t="str">
        <f aca="false">IFERROR(IF(D92="Long",(H92-E92)/E92,IF(D92="Short",(E92-H92)/E92,"")),"")</f>
        <v/>
      </c>
      <c r="M92" s="19" t="str">
        <f aca="false">IFERROR(K92/ABS(J92),"")</f>
        <v/>
      </c>
      <c r="N92" s="20" t="str">
        <f aca="false">IFERROR(IF(K92&gt;0,"Win",IF(K92&lt;0,"Loss","Breakeven")),"")</f>
        <v>Win</v>
      </c>
      <c r="O92" s="16"/>
      <c r="P92" s="16"/>
      <c r="Q92" s="16"/>
      <c r="R92" s="16"/>
      <c r="S92" s="21"/>
    </row>
    <row r="93" customFormat="false" ht="18" hidden="false" customHeight="tru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1" t="n">
        <f aca="false">IFERROR((E93-F93)*I93,"")</f>
        <v>0</v>
      </c>
      <c r="K93" s="11" t="str">
        <f aca="false">IFERROR(IF(D93="Long",(H93-E93)*I93,IF(D93="Short",(E93-H93)*I93,"")),"")</f>
        <v/>
      </c>
      <c r="L93" s="12" t="str">
        <f aca="false">IFERROR(IF(D93="Long",(H93-E93)/E93,IF(D93="Short",(E93-H93)/E93,"")),"")</f>
        <v/>
      </c>
      <c r="M93" s="13" t="str">
        <f aca="false">IFERROR(K93/ABS(J93),"")</f>
        <v/>
      </c>
      <c r="N93" s="14" t="str">
        <f aca="false">IFERROR(IF(K93&gt;0,"Win",IF(K93&lt;0,"Loss","Breakeven")),"")</f>
        <v>Win</v>
      </c>
      <c r="O93" s="10"/>
      <c r="P93" s="10"/>
      <c r="Q93" s="10"/>
      <c r="R93" s="10"/>
      <c r="S93" s="15"/>
    </row>
    <row r="94" customFormat="false" ht="18" hidden="false" customHeight="true" outlineLevel="0" collapsed="false">
      <c r="A94" s="16"/>
      <c r="B94" s="16"/>
      <c r="C94" s="16"/>
      <c r="D94" s="16"/>
      <c r="E94" s="16"/>
      <c r="F94" s="16"/>
      <c r="G94" s="16"/>
      <c r="H94" s="16"/>
      <c r="I94" s="16"/>
      <c r="J94" s="17" t="n">
        <f aca="false">IFERROR((E94-F94)*I94,"")</f>
        <v>0</v>
      </c>
      <c r="K94" s="17" t="str">
        <f aca="false">IFERROR(IF(D94="Long",(H94-E94)*I94,IF(D94="Short",(E94-H94)*I94,"")),"")</f>
        <v/>
      </c>
      <c r="L94" s="18" t="str">
        <f aca="false">IFERROR(IF(D94="Long",(H94-E94)/E94,IF(D94="Short",(E94-H94)/E94,"")),"")</f>
        <v/>
      </c>
      <c r="M94" s="19" t="str">
        <f aca="false">IFERROR(K94/ABS(J94),"")</f>
        <v/>
      </c>
      <c r="N94" s="20" t="str">
        <f aca="false">IFERROR(IF(K94&gt;0,"Win",IF(K94&lt;0,"Loss","Breakeven")),"")</f>
        <v>Win</v>
      </c>
      <c r="O94" s="16"/>
      <c r="P94" s="16"/>
      <c r="Q94" s="16"/>
      <c r="R94" s="16"/>
      <c r="S94" s="21"/>
    </row>
    <row r="95" customFormat="false" ht="18" hidden="false" customHeight="tru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1" t="n">
        <f aca="false">IFERROR((E95-F95)*I95,"")</f>
        <v>0</v>
      </c>
      <c r="K95" s="11" t="str">
        <f aca="false">IFERROR(IF(D95="Long",(H95-E95)*I95,IF(D95="Short",(E95-H95)*I95,"")),"")</f>
        <v/>
      </c>
      <c r="L95" s="12" t="str">
        <f aca="false">IFERROR(IF(D95="Long",(H95-E95)/E95,IF(D95="Short",(E95-H95)/E95,"")),"")</f>
        <v/>
      </c>
      <c r="M95" s="13" t="str">
        <f aca="false">IFERROR(K95/ABS(J95),"")</f>
        <v/>
      </c>
      <c r="N95" s="14" t="str">
        <f aca="false">IFERROR(IF(K95&gt;0,"Win",IF(K95&lt;0,"Loss","Breakeven")),"")</f>
        <v>Win</v>
      </c>
      <c r="O95" s="10"/>
      <c r="P95" s="10"/>
      <c r="Q95" s="10"/>
      <c r="R95" s="10"/>
      <c r="S95" s="15"/>
    </row>
    <row r="96" customFormat="false" ht="18" hidden="false" customHeight="true" outlineLevel="0" collapsed="false">
      <c r="A96" s="16"/>
      <c r="B96" s="16"/>
      <c r="C96" s="16"/>
      <c r="D96" s="16"/>
      <c r="E96" s="16"/>
      <c r="F96" s="16"/>
      <c r="G96" s="16"/>
      <c r="H96" s="16"/>
      <c r="I96" s="16"/>
      <c r="J96" s="17" t="n">
        <f aca="false">IFERROR((E96-F96)*I96,"")</f>
        <v>0</v>
      </c>
      <c r="K96" s="17" t="str">
        <f aca="false">IFERROR(IF(D96="Long",(H96-E96)*I96,IF(D96="Short",(E96-H96)*I96,"")),"")</f>
        <v/>
      </c>
      <c r="L96" s="18" t="str">
        <f aca="false">IFERROR(IF(D96="Long",(H96-E96)/E96,IF(D96="Short",(E96-H96)/E96,"")),"")</f>
        <v/>
      </c>
      <c r="M96" s="19" t="str">
        <f aca="false">IFERROR(K96/ABS(J96),"")</f>
        <v/>
      </c>
      <c r="N96" s="20" t="str">
        <f aca="false">IFERROR(IF(K96&gt;0,"Win",IF(K96&lt;0,"Loss","Breakeven")),"")</f>
        <v>Win</v>
      </c>
      <c r="O96" s="16"/>
      <c r="P96" s="16"/>
      <c r="Q96" s="16"/>
      <c r="R96" s="16"/>
      <c r="S96" s="21"/>
    </row>
    <row r="97" customFormat="false" ht="18" hidden="false" customHeight="tru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1" t="n">
        <f aca="false">IFERROR((E97-F97)*I97,"")</f>
        <v>0</v>
      </c>
      <c r="K97" s="11" t="str">
        <f aca="false">IFERROR(IF(D97="Long",(H97-E97)*I97,IF(D97="Short",(E97-H97)*I97,"")),"")</f>
        <v/>
      </c>
      <c r="L97" s="12" t="str">
        <f aca="false">IFERROR(IF(D97="Long",(H97-E97)/E97,IF(D97="Short",(E97-H97)/E97,"")),"")</f>
        <v/>
      </c>
      <c r="M97" s="13" t="str">
        <f aca="false">IFERROR(K97/ABS(J97),"")</f>
        <v/>
      </c>
      <c r="N97" s="14" t="str">
        <f aca="false">IFERROR(IF(K97&gt;0,"Win",IF(K97&lt;0,"Loss","Breakeven")),"")</f>
        <v>Win</v>
      </c>
      <c r="O97" s="10"/>
      <c r="P97" s="10"/>
      <c r="Q97" s="10"/>
      <c r="R97" s="10"/>
      <c r="S97" s="15"/>
    </row>
    <row r="98" customFormat="false" ht="18" hidden="false" customHeight="true" outlineLevel="0" collapsed="false">
      <c r="A98" s="16"/>
      <c r="B98" s="16"/>
      <c r="C98" s="16"/>
      <c r="D98" s="16"/>
      <c r="E98" s="16"/>
      <c r="F98" s="16"/>
      <c r="G98" s="16"/>
      <c r="H98" s="16"/>
      <c r="I98" s="16"/>
      <c r="J98" s="17" t="n">
        <f aca="false">IFERROR((E98-F98)*I98,"")</f>
        <v>0</v>
      </c>
      <c r="K98" s="17" t="str">
        <f aca="false">IFERROR(IF(D98="Long",(H98-E98)*I98,IF(D98="Short",(E98-H98)*I98,"")),"")</f>
        <v/>
      </c>
      <c r="L98" s="18" t="str">
        <f aca="false">IFERROR(IF(D98="Long",(H98-E98)/E98,IF(D98="Short",(E98-H98)/E98,"")),"")</f>
        <v/>
      </c>
      <c r="M98" s="19" t="str">
        <f aca="false">IFERROR(K98/ABS(J98),"")</f>
        <v/>
      </c>
      <c r="N98" s="20" t="str">
        <f aca="false">IFERROR(IF(K98&gt;0,"Win",IF(K98&lt;0,"Loss","Breakeven")),"")</f>
        <v>Win</v>
      </c>
      <c r="O98" s="16"/>
      <c r="P98" s="16"/>
      <c r="Q98" s="16"/>
      <c r="R98" s="16"/>
      <c r="S98" s="21"/>
    </row>
    <row r="99" customFormat="false" ht="18" hidden="false" customHeight="tru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1" t="n">
        <f aca="false">IFERROR((E99-F99)*I99,"")</f>
        <v>0</v>
      </c>
      <c r="K99" s="11" t="str">
        <f aca="false">IFERROR(IF(D99="Long",(H99-E99)*I99,IF(D99="Short",(E99-H99)*I99,"")),"")</f>
        <v/>
      </c>
      <c r="L99" s="12" t="str">
        <f aca="false">IFERROR(IF(D99="Long",(H99-E99)/E99,IF(D99="Short",(E99-H99)/E99,"")),"")</f>
        <v/>
      </c>
      <c r="M99" s="13" t="str">
        <f aca="false">IFERROR(K99/ABS(J99),"")</f>
        <v/>
      </c>
      <c r="N99" s="14" t="str">
        <f aca="false">IFERROR(IF(K99&gt;0,"Win",IF(K99&lt;0,"Loss","Breakeven")),"")</f>
        <v>Win</v>
      </c>
      <c r="O99" s="10"/>
      <c r="P99" s="10"/>
      <c r="Q99" s="10"/>
      <c r="R99" s="10"/>
      <c r="S99" s="15"/>
    </row>
    <row r="100" customFormat="false" ht="18" hidden="false" customHeight="tru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  <c r="J100" s="17" t="n">
        <f aca="false">IFERROR((E100-F100)*I100,"")</f>
        <v>0</v>
      </c>
      <c r="K100" s="17" t="str">
        <f aca="false">IFERROR(IF(D100="Long",(H100-E100)*I100,IF(D100="Short",(E100-H100)*I100,"")),"")</f>
        <v/>
      </c>
      <c r="L100" s="18" t="str">
        <f aca="false">IFERROR(IF(D100="Long",(H100-E100)/E100,IF(D100="Short",(E100-H100)/E100,"")),"")</f>
        <v/>
      </c>
      <c r="M100" s="19" t="str">
        <f aca="false">IFERROR(K100/ABS(J100),"")</f>
        <v/>
      </c>
      <c r="N100" s="20" t="str">
        <f aca="false">IFERROR(IF(K100&gt;0,"Win",IF(K100&lt;0,"Loss","Breakeven")),"")</f>
        <v>Win</v>
      </c>
      <c r="O100" s="16"/>
      <c r="P100" s="16"/>
      <c r="Q100" s="16"/>
      <c r="R100" s="16"/>
      <c r="S100" s="21"/>
    </row>
    <row r="101" customFormat="false" ht="18" hidden="false" customHeight="tru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1" t="n">
        <f aca="false">IFERROR((E101-F101)*I101,"")</f>
        <v>0</v>
      </c>
      <c r="K101" s="11" t="str">
        <f aca="false">IFERROR(IF(D101="Long",(H101-E101)*I101,IF(D101="Short",(E101-H101)*I101,"")),"")</f>
        <v/>
      </c>
      <c r="L101" s="12" t="str">
        <f aca="false">IFERROR(IF(D101="Long",(H101-E101)/E101,IF(D101="Short",(E101-H101)/E101,"")),"")</f>
        <v/>
      </c>
      <c r="M101" s="13" t="str">
        <f aca="false">IFERROR(K101/ABS(J101),"")</f>
        <v/>
      </c>
      <c r="N101" s="14" t="str">
        <f aca="false">IFERROR(IF(K101&gt;0,"Win",IF(K101&lt;0,"Loss","Breakeven")),"")</f>
        <v>Win</v>
      </c>
      <c r="O101" s="10"/>
      <c r="P101" s="10"/>
      <c r="Q101" s="10"/>
      <c r="R101" s="10"/>
      <c r="S101" s="15"/>
    </row>
    <row r="102" customFormat="false" ht="18" hidden="false" customHeight="tru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  <c r="J102" s="17" t="n">
        <f aca="false">IFERROR((E102-F102)*I102,"")</f>
        <v>0</v>
      </c>
      <c r="K102" s="17" t="str">
        <f aca="false">IFERROR(IF(D102="Long",(H102-E102)*I102,IF(D102="Short",(E102-H102)*I102,"")),"")</f>
        <v/>
      </c>
      <c r="L102" s="18" t="str">
        <f aca="false">IFERROR(IF(D102="Long",(H102-E102)/E102,IF(D102="Short",(E102-H102)/E102,"")),"")</f>
        <v/>
      </c>
      <c r="M102" s="19" t="str">
        <f aca="false">IFERROR(K102/ABS(J102),"")</f>
        <v/>
      </c>
      <c r="N102" s="20" t="str">
        <f aca="false">IFERROR(IF(K102&gt;0,"Win",IF(K102&lt;0,"Loss","Breakeven")),"")</f>
        <v>Win</v>
      </c>
      <c r="O102" s="16"/>
      <c r="P102" s="16"/>
      <c r="Q102" s="16"/>
      <c r="R102" s="16"/>
      <c r="S102" s="21"/>
    </row>
    <row r="103" customFormat="false" ht="18" hidden="false" customHeight="tru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1" t="n">
        <f aca="false">IFERROR((E103-F103)*I103,"")</f>
        <v>0</v>
      </c>
      <c r="K103" s="11" t="str">
        <f aca="false">IFERROR(IF(D103="Long",(H103-E103)*I103,IF(D103="Short",(E103-H103)*I103,"")),"")</f>
        <v/>
      </c>
      <c r="L103" s="12" t="str">
        <f aca="false">IFERROR(IF(D103="Long",(H103-E103)/E103,IF(D103="Short",(E103-H103)/E103,"")),"")</f>
        <v/>
      </c>
      <c r="M103" s="13" t="str">
        <f aca="false">IFERROR(K103/ABS(J103),"")</f>
        <v/>
      </c>
      <c r="N103" s="14" t="str">
        <f aca="false">IFERROR(IF(K103&gt;0,"Win",IF(K103&lt;0,"Loss","Breakeven")),"")</f>
        <v>Win</v>
      </c>
      <c r="O103" s="10"/>
      <c r="P103" s="10"/>
      <c r="Q103" s="10"/>
      <c r="R103" s="10"/>
      <c r="S103" s="15"/>
    </row>
  </sheetData>
  <mergeCells count="2">
    <mergeCell ref="A1:S1"/>
    <mergeCell ref="A2:S2"/>
  </mergeCells>
  <dataValidations count="5">
    <dataValidation allowBlank="true" errorStyle="stop" operator="between" showDropDown="false" showErrorMessage="false" showInputMessage="false" sqref="D4:D103" type="list">
      <formula1>"Long,Short"</formula1>
      <formula2>0</formula2>
    </dataValidation>
    <dataValidation allowBlank="true" errorStyle="stop" operator="between" showDropDown="false" showErrorMessage="false" showInputMessage="false" sqref="O4:O103" type="list">
      <formula1>"A,B,C,D,F"</formula1>
      <formula2>0</formula2>
    </dataValidation>
    <dataValidation allowBlank="true" errorStyle="stop" operator="between" showDropDown="false" showErrorMessage="false" showInputMessage="false" sqref="P4:P103" type="list">
      <formula1>"Calm,Confident,Anxious,Frustrated,Greedy,Fearful,Bored,Overconfident"</formula1>
      <formula2>0</formula2>
    </dataValidation>
    <dataValidation allowBlank="true" errorStyle="stop" operator="between" showDropDown="false" showErrorMessage="false" showInputMessage="false" sqref="Q4:Q103" type="list">
      <formula1>"Yes,No"</formula1>
      <formula2>0</formula2>
    </dataValidation>
    <dataValidation allowBlank="true" errorStyle="stop" operator="between" showDropDown="false" showErrorMessage="false" showInputMessage="false" sqref="C4:C103" type="list">
      <formula1>"Bull Flag,Bear Flag,Gap and Go,First Green Day,Washout Long,IBS Play,Short Squeeze,Ascending Triangle,Descending Triangle,Head and Shoulders,Double Top,Double Bottom,VWAP Reclaim,ORB,Swing Breakout,Other"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1A"/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39.7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31</v>
      </c>
      <c r="B2" s="2"/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A4" s="22" t="s">
        <v>32</v>
      </c>
      <c r="B4" s="22"/>
      <c r="D4" s="22" t="s">
        <v>33</v>
      </c>
      <c r="E4" s="22"/>
      <c r="G4" s="22" t="s">
        <v>34</v>
      </c>
      <c r="H4" s="22"/>
    </row>
    <row r="5" customFormat="false" ht="25.5" hidden="false" customHeight="true" outlineLevel="0" collapsed="false">
      <c r="A5" s="23" t="s">
        <v>35</v>
      </c>
      <c r="B5" s="24" t="n">
        <f aca="false">COUNTA('Trade Log'!B4:B103)</f>
        <v>1</v>
      </c>
      <c r="D5" s="23" t="s">
        <v>36</v>
      </c>
      <c r="E5" s="24" t="n">
        <f aca="false">COUNTIF('Trade Log'!O4:O103,"A")</f>
        <v>1</v>
      </c>
      <c r="G5" s="23" t="s">
        <v>37</v>
      </c>
      <c r="H5" s="25" t="n">
        <f aca="false">IFERROR(COUNTIF('Trade Log'!Q4:Q103,"Yes")/COUNTA('Trade Log'!Q4:Q103),0)</f>
        <v>1</v>
      </c>
    </row>
    <row r="6" customFormat="false" ht="27.75" hidden="false" customHeight="true" outlineLevel="0" collapsed="false">
      <c r="A6" s="23" t="s">
        <v>38</v>
      </c>
      <c r="B6" s="26" t="n">
        <f aca="false">IFERROR(SUM('Trade Log'!K4:K103),0)</f>
        <v>247.5</v>
      </c>
      <c r="D6" s="23" t="s">
        <v>39</v>
      </c>
      <c r="E6" s="24" t="n">
        <f aca="false">COUNTIF('Trade Log'!O4:O103,"B")</f>
        <v>0</v>
      </c>
      <c r="G6" s="23" t="s">
        <v>40</v>
      </c>
      <c r="H6" s="25" t="n">
        <f aca="false">IFERROR(COUNTIF('Trade Log'!R4:R103,"No")/COUNTA('Trade Log'!R4:R103),0)</f>
        <v>1</v>
      </c>
    </row>
    <row r="7" customFormat="false" ht="27.75" hidden="false" customHeight="true" outlineLevel="0" collapsed="false">
      <c r="A7" s="23" t="s">
        <v>41</v>
      </c>
      <c r="B7" s="25" t="n">
        <f aca="false">IFERROR(COUNTIF('Trade Log'!N4:N103,"Win")/COUNTA('Trade Log'!N4:N103),0)</f>
        <v>1</v>
      </c>
      <c r="D7" s="23" t="s">
        <v>42</v>
      </c>
      <c r="E7" s="24" t="n">
        <f aca="false">COUNTIF('Trade Log'!O4:O103,"C")</f>
        <v>0</v>
      </c>
      <c r="G7" s="23" t="s">
        <v>43</v>
      </c>
      <c r="H7" s="24" t="n">
        <f aca="false">IFERROR(INDEX('Trade Log'!C4:C103,MATCH(MAX(COUNTIF('Trade Log'!C4:C103,'Trade Log'!C4:C103)),COUNTIF('Trade Log'!C4:C103,'Trade Log'!C4:C103),0)),"—")</f>
        <v>0</v>
      </c>
    </row>
    <row r="8" customFormat="false" ht="27.75" hidden="false" customHeight="true" outlineLevel="0" collapsed="false">
      <c r="A8" s="23" t="s">
        <v>44</v>
      </c>
      <c r="B8" s="26" t="n">
        <f aca="false">IFERROR(AVERAGEIF('Trade Log'!N4:N103,"Win",'Trade Log'!K4:K103),0)</f>
        <v>247.5</v>
      </c>
      <c r="D8" s="23" t="s">
        <v>45</v>
      </c>
      <c r="E8" s="24" t="n">
        <f aca="false">COUNTIF('Trade Log'!O4:O103,"D")</f>
        <v>0</v>
      </c>
      <c r="G8" s="23" t="s">
        <v>46</v>
      </c>
      <c r="H8" s="25" t="n">
        <f aca="false">IFERROR(COUNTIF('Trade Log'!P4:P103,"Calm")/COUNTA('Trade Log'!P4:P103),0)</f>
        <v>1</v>
      </c>
    </row>
    <row r="9" customFormat="false" ht="27.75" hidden="false" customHeight="true" outlineLevel="0" collapsed="false">
      <c r="A9" s="23" t="s">
        <v>47</v>
      </c>
      <c r="B9" s="26" t="n">
        <f aca="false">IFERROR(AVERAGEIF('Trade Log'!N4:N103,"Loss",'Trade Log'!K4:K103),0)</f>
        <v>0</v>
      </c>
      <c r="D9" s="23" t="s">
        <v>48</v>
      </c>
      <c r="E9" s="24" t="n">
        <f aca="false">COUNTIF('Trade Log'!O4:O103,"F")</f>
        <v>0</v>
      </c>
      <c r="G9" s="23" t="s">
        <v>49</v>
      </c>
      <c r="H9" s="24" t="n">
        <f aca="false">COUNTIF('Trade Log'!D4:D103,"Long")</f>
        <v>1</v>
      </c>
    </row>
    <row r="10" customFormat="false" ht="27.75" hidden="false" customHeight="true" outlineLevel="0" collapsed="false">
      <c r="A10" s="23" t="s">
        <v>50</v>
      </c>
      <c r="B10" s="27" t="n">
        <f aca="false">IFERROR(SUMIF('Trade Log'!N4:N103,"Win",'Trade Log'!K4:K103)/ABS(SUMIF('Trade Log'!N4:N103,"Loss",'Trade Log'!K4:K103)),0)</f>
        <v>0</v>
      </c>
      <c r="G10" s="23" t="s">
        <v>51</v>
      </c>
      <c r="H10" s="24" t="n">
        <f aca="false">COUNTIF('Trade Log'!D4:D103,"Short")</f>
        <v>0</v>
      </c>
    </row>
    <row r="11" customFormat="false" ht="27.75" hidden="false" customHeight="true" outlineLevel="0" collapsed="false">
      <c r="A11" s="23" t="s">
        <v>52</v>
      </c>
      <c r="B11" s="27" t="n">
        <f aca="false">IFERROR(AVERAGE('Trade Log'!M4:M103),0)</f>
        <v>2.5</v>
      </c>
    </row>
    <row r="12" customFormat="false" ht="27.75" hidden="false" customHeight="true" outlineLevel="0" collapsed="false">
      <c r="A12" s="23" t="s">
        <v>53</v>
      </c>
      <c r="B12" s="26" t="n">
        <f aca="false">IFERROR(MAX('Trade Log'!K4:K103),0)</f>
        <v>247.5</v>
      </c>
    </row>
    <row r="13" customFormat="false" ht="27.75" hidden="false" customHeight="true" outlineLevel="0" collapsed="false">
      <c r="A13" s="23" t="s">
        <v>54</v>
      </c>
      <c r="B13" s="26" t="n">
        <f aca="false">IFERROR(MIN('Trade Log'!K4:K103),0)</f>
        <v>247.5</v>
      </c>
    </row>
    <row r="15" customFormat="false" ht="39.75" hidden="false" customHeight="true" outlineLevel="0" collapsed="false">
      <c r="A15" s="28" t="s">
        <v>55</v>
      </c>
      <c r="B15" s="28"/>
      <c r="C15" s="28"/>
      <c r="D15" s="28"/>
      <c r="E15" s="28"/>
      <c r="F15" s="28"/>
      <c r="G15" s="28"/>
      <c r="H15" s="28"/>
    </row>
  </sheetData>
  <mergeCells count="6">
    <mergeCell ref="A1:H1"/>
    <mergeCell ref="A2:H2"/>
    <mergeCell ref="A4:B4"/>
    <mergeCell ref="D4:E4"/>
    <mergeCell ref="G4:H4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2D"/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</cols>
  <sheetData>
    <row r="1" customFormat="false" ht="39.75" hidden="false" customHeight="true" outlineLevel="0" collapsed="false">
      <c r="A1" s="1" t="s">
        <v>56</v>
      </c>
      <c r="B1" s="1"/>
    </row>
    <row r="2" customFormat="false" ht="15.75" hidden="false" customHeight="true" outlineLevel="0" collapsed="false">
      <c r="A2" s="2" t="s">
        <v>57</v>
      </c>
      <c r="B2" s="2"/>
    </row>
    <row r="3" customFormat="false" ht="24" hidden="false" customHeight="true" outlineLevel="0" collapsed="false">
      <c r="A3" s="29" t="s">
        <v>58</v>
      </c>
      <c r="B3" s="29"/>
    </row>
    <row r="5" customFormat="false" ht="21.75" hidden="false" customHeight="true" outlineLevel="0" collapsed="false">
      <c r="A5" s="22" t="s">
        <v>59</v>
      </c>
      <c r="B5" s="22"/>
    </row>
    <row r="6" customFormat="false" ht="19.5" hidden="false" customHeight="true" outlineLevel="0" collapsed="false">
      <c r="A6" s="30" t="s">
        <v>60</v>
      </c>
      <c r="B6" s="31"/>
    </row>
    <row r="7" customFormat="false" ht="19.5" hidden="false" customHeight="true" outlineLevel="0" collapsed="false">
      <c r="A7" s="30" t="s">
        <v>61</v>
      </c>
      <c r="B7" s="31"/>
    </row>
    <row r="8" customFormat="false" ht="19.5" hidden="false" customHeight="true" outlineLevel="0" collapsed="false">
      <c r="A8" s="30" t="s">
        <v>62</v>
      </c>
      <c r="B8" s="31"/>
    </row>
    <row r="9" customFormat="false" ht="49.5" hidden="false" customHeight="true" outlineLevel="0" collapsed="false">
      <c r="A9" s="30" t="s">
        <v>63</v>
      </c>
      <c r="B9" s="31"/>
    </row>
    <row r="10" customFormat="false" ht="49.5" hidden="false" customHeight="true" outlineLevel="0" collapsed="false">
      <c r="A10" s="30" t="s">
        <v>64</v>
      </c>
      <c r="B10" s="31"/>
    </row>
    <row r="12" customFormat="false" ht="21.75" hidden="false" customHeight="true" outlineLevel="0" collapsed="false">
      <c r="A12" s="22" t="s">
        <v>65</v>
      </c>
      <c r="B12" s="22"/>
    </row>
    <row r="13" customFormat="false" ht="39.75" hidden="false" customHeight="true" outlineLevel="0" collapsed="false">
      <c r="A13" s="30" t="s">
        <v>66</v>
      </c>
      <c r="B13" s="31"/>
    </row>
    <row r="14" customFormat="false" ht="39.75" hidden="false" customHeight="true" outlineLevel="0" collapsed="false">
      <c r="A14" s="30" t="s">
        <v>67</v>
      </c>
      <c r="B14" s="31"/>
    </row>
    <row r="15" customFormat="false" ht="39.75" hidden="false" customHeight="true" outlineLevel="0" collapsed="false">
      <c r="A15" s="30" t="s">
        <v>68</v>
      </c>
      <c r="B15" s="31"/>
    </row>
    <row r="17" customFormat="false" ht="21.75" hidden="false" customHeight="true" outlineLevel="0" collapsed="false">
      <c r="A17" s="22" t="s">
        <v>69</v>
      </c>
      <c r="B17" s="22"/>
    </row>
    <row r="18" customFormat="false" ht="49.5" hidden="false" customHeight="true" outlineLevel="0" collapsed="false">
      <c r="A18" s="30" t="s">
        <v>70</v>
      </c>
      <c r="B18" s="31"/>
    </row>
    <row r="19" customFormat="false" ht="49.5" hidden="false" customHeight="true" outlineLevel="0" collapsed="false">
      <c r="A19" s="30" t="s">
        <v>71</v>
      </c>
      <c r="B19" s="31"/>
    </row>
    <row r="20" customFormat="false" ht="49.5" hidden="false" customHeight="true" outlineLevel="0" collapsed="false">
      <c r="A20" s="30" t="s">
        <v>72</v>
      </c>
      <c r="B20" s="31"/>
    </row>
    <row r="21" customFormat="false" ht="49.5" hidden="false" customHeight="true" outlineLevel="0" collapsed="false">
      <c r="A21" s="30" t="s">
        <v>73</v>
      </c>
      <c r="B21" s="31"/>
    </row>
    <row r="23" customFormat="false" ht="21.75" hidden="false" customHeight="true" outlineLevel="0" collapsed="false">
      <c r="A23" s="22" t="s">
        <v>74</v>
      </c>
      <c r="B23" s="22"/>
    </row>
    <row r="24" customFormat="false" ht="49.5" hidden="false" customHeight="true" outlineLevel="0" collapsed="false">
      <c r="A24" s="30" t="s">
        <v>75</v>
      </c>
      <c r="B24" s="31"/>
    </row>
    <row r="25" customFormat="false" ht="39.75" hidden="false" customHeight="true" outlineLevel="0" collapsed="false">
      <c r="A25" s="30" t="s">
        <v>76</v>
      </c>
      <c r="B25" s="31"/>
    </row>
    <row r="26" customFormat="false" ht="49.5" hidden="false" customHeight="true" outlineLevel="0" collapsed="false">
      <c r="A26" s="30" t="s">
        <v>77</v>
      </c>
      <c r="B26" s="31"/>
    </row>
    <row r="27" customFormat="false" ht="39.75" hidden="false" customHeight="true" outlineLevel="0" collapsed="false">
      <c r="A27" s="30" t="s">
        <v>78</v>
      </c>
      <c r="B27" s="31"/>
    </row>
  </sheetData>
  <mergeCells count="7">
    <mergeCell ref="A1:B1"/>
    <mergeCell ref="A2:B2"/>
    <mergeCell ref="A3:B3"/>
    <mergeCell ref="A5:B5"/>
    <mergeCell ref="A12:B12"/>
    <mergeCell ref="A17:B17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A0D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39.75" hidden="false" customHeight="true" outlineLevel="0" collapsed="false">
      <c r="A1" s="1" t="s">
        <v>79</v>
      </c>
      <c r="B1" s="1"/>
      <c r="C1" s="1"/>
      <c r="D1" s="1"/>
    </row>
    <row r="2" customFormat="false" ht="15.75" hidden="false" customHeight="true" outlineLevel="0" collapsed="false">
      <c r="A2" s="2" t="s">
        <v>80</v>
      </c>
      <c r="B2" s="2"/>
      <c r="C2" s="2"/>
      <c r="D2" s="2"/>
    </row>
    <row r="3" customFormat="false" ht="24" hidden="false" customHeight="true" outlineLevel="0" collapsed="false">
      <c r="A3" s="32" t="s">
        <v>81</v>
      </c>
      <c r="B3" s="33"/>
      <c r="C3" s="32" t="s">
        <v>82</v>
      </c>
      <c r="D3" s="34"/>
    </row>
    <row r="4" customFormat="false" ht="21.75" hidden="false" customHeight="true" outlineLevel="0" collapsed="false">
      <c r="A4" s="3" t="s">
        <v>83</v>
      </c>
      <c r="B4" s="3" t="s">
        <v>84</v>
      </c>
      <c r="C4" s="3" t="s">
        <v>85</v>
      </c>
      <c r="D4" s="3" t="s">
        <v>20</v>
      </c>
    </row>
    <row r="5" customFormat="false" ht="36" hidden="false" customHeight="true" outlineLevel="0" collapsed="false">
      <c r="A5" s="35" t="n">
        <v>1</v>
      </c>
      <c r="B5" s="36" t="s">
        <v>86</v>
      </c>
      <c r="C5" s="37"/>
      <c r="D5" s="38" t="s">
        <v>87</v>
      </c>
    </row>
    <row r="6" customFormat="false" ht="36" hidden="false" customHeight="true" outlineLevel="0" collapsed="false">
      <c r="A6" s="39" t="n">
        <v>2</v>
      </c>
      <c r="B6" s="40" t="s">
        <v>88</v>
      </c>
      <c r="C6" s="37"/>
      <c r="D6" s="41" t="s">
        <v>89</v>
      </c>
    </row>
    <row r="7" customFormat="false" ht="36" hidden="false" customHeight="true" outlineLevel="0" collapsed="false">
      <c r="A7" s="35" t="n">
        <v>3</v>
      </c>
      <c r="B7" s="36" t="s">
        <v>90</v>
      </c>
      <c r="C7" s="37"/>
      <c r="D7" s="38" t="s">
        <v>91</v>
      </c>
    </row>
    <row r="8" customFormat="false" ht="36" hidden="false" customHeight="true" outlineLevel="0" collapsed="false">
      <c r="A8" s="39" t="n">
        <v>4</v>
      </c>
      <c r="B8" s="40" t="s">
        <v>92</v>
      </c>
      <c r="C8" s="37"/>
      <c r="D8" s="41" t="s">
        <v>93</v>
      </c>
    </row>
    <row r="9" customFormat="false" ht="36" hidden="false" customHeight="true" outlineLevel="0" collapsed="false">
      <c r="A9" s="35" t="n">
        <v>5</v>
      </c>
      <c r="B9" s="36" t="s">
        <v>94</v>
      </c>
      <c r="C9" s="37"/>
      <c r="D9" s="38" t="s">
        <v>95</v>
      </c>
    </row>
    <row r="10" customFormat="false" ht="36" hidden="false" customHeight="true" outlineLevel="0" collapsed="false">
      <c r="A10" s="39" t="n">
        <v>6</v>
      </c>
      <c r="B10" s="40" t="s">
        <v>96</v>
      </c>
      <c r="C10" s="37"/>
      <c r="D10" s="41" t="s">
        <v>97</v>
      </c>
    </row>
    <row r="11" customFormat="false" ht="36" hidden="false" customHeight="true" outlineLevel="0" collapsed="false">
      <c r="A11" s="35" t="n">
        <v>7</v>
      </c>
      <c r="B11" s="36" t="s">
        <v>98</v>
      </c>
      <c r="C11" s="37"/>
      <c r="D11" s="38" t="s">
        <v>99</v>
      </c>
    </row>
    <row r="12" customFormat="false" ht="36" hidden="false" customHeight="true" outlineLevel="0" collapsed="false">
      <c r="A12" s="39" t="n">
        <v>8</v>
      </c>
      <c r="B12" s="40" t="s">
        <v>100</v>
      </c>
      <c r="C12" s="37"/>
      <c r="D12" s="41" t="s">
        <v>101</v>
      </c>
    </row>
    <row r="13" customFormat="false" ht="36" hidden="false" customHeight="true" outlineLevel="0" collapsed="false">
      <c r="A13" s="35" t="n">
        <v>9</v>
      </c>
      <c r="B13" s="36" t="s">
        <v>102</v>
      </c>
      <c r="C13" s="37"/>
      <c r="D13" s="38" t="s">
        <v>103</v>
      </c>
    </row>
    <row r="14" customFormat="false" ht="36" hidden="false" customHeight="true" outlineLevel="0" collapsed="false">
      <c r="A14" s="39" t="n">
        <v>10</v>
      </c>
      <c r="B14" s="40" t="s">
        <v>104</v>
      </c>
      <c r="C14" s="37"/>
      <c r="D14" s="41" t="s">
        <v>105</v>
      </c>
    </row>
    <row r="15" customFormat="false" ht="36" hidden="false" customHeight="true" outlineLevel="0" collapsed="false">
      <c r="A15" s="35" t="n">
        <v>11</v>
      </c>
      <c r="B15" s="36" t="s">
        <v>106</v>
      </c>
      <c r="C15" s="37"/>
      <c r="D15" s="38" t="s">
        <v>107</v>
      </c>
    </row>
    <row r="16" customFormat="false" ht="36" hidden="false" customHeight="true" outlineLevel="0" collapsed="false">
      <c r="A16" s="39" t="n">
        <v>12</v>
      </c>
      <c r="B16" s="40" t="s">
        <v>108</v>
      </c>
      <c r="C16" s="37"/>
      <c r="D16" s="41" t="s">
        <v>109</v>
      </c>
    </row>
    <row r="17" customFormat="false" ht="30" hidden="false" customHeight="true" outlineLevel="0" collapsed="false">
      <c r="A17" s="42" t="s">
        <v>110</v>
      </c>
      <c r="B17" s="42"/>
      <c r="C17" s="43" t="n">
        <f aca="false">(IF(C5="Yes",1,0)+IF(C6="Yes",1,0)+IF(C9="Yes",1,0)+IF(C15="Yes",1,0)+IF(C16="Yes",1,0)+IF(C7="No",1,0)+IF(C8="No",1,0)+IF(C10="No",1,0)+IF(C11="No",1,0)+IF(C12="No",1,0)+IF(C13="No",1,0)+IF(C14="No",1,0))</f>
        <v>0</v>
      </c>
      <c r="D17" s="44" t="s">
        <v>111</v>
      </c>
    </row>
    <row r="18" customFormat="false" ht="60" hidden="false" customHeight="true" outlineLevel="0" collapsed="false">
      <c r="A18" s="45" t="s">
        <v>112</v>
      </c>
      <c r="B18" s="46"/>
      <c r="C18" s="46"/>
      <c r="D18" s="46"/>
    </row>
  </sheetData>
  <mergeCells count="4">
    <mergeCell ref="A1:D1"/>
    <mergeCell ref="A2:D2"/>
    <mergeCell ref="A17:B17"/>
    <mergeCell ref="B18:D18"/>
  </mergeCells>
  <dataValidations count="1">
    <dataValidation allowBlank="true" errorStyle="stop" operator="between" showDropDown="false" showErrorMessage="false" showInputMessage="false" sqref="C5:C200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2026-07-28T03:37:46Z</dcterms:created>
  <dc:creator>openpyxl</dc:creator>
  <dc:description/>
  <dc:language>en-US</dc:language>
  <cp:lastModifiedBy/>
  <dcterms:modified xsi:type="dcterms:W3CDTF">2026-07-28T03:37:47Z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