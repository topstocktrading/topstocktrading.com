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de Log" sheetId="1" state="visible" r:id="rId3"/>
    <sheet name="Dashboard" sheetId="2" state="visible" r:id="rId4"/>
    <sheet name="Weekly Review" sheetId="3" state="visible" r:id="rId5"/>
    <sheet name="Daily Scorec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<sst xmlns="http://schemas.openxmlformats.org/spreadsheetml/2006/main" count="114" uniqueCount="114">
  <si>
    <t xml:space="preserve">TST TRADE JOURNAL  —  TRADE LOG</t>
  </si>
  <si>
    <t xml:space="preserve">Blue cells = your input   ·   Black cells = auto-calculated   ·   One row per trade   ·   Dropdowns in colored columns</t>
  </si>
  <si>
    <t xml:space="preserve">Date</t>
  </si>
  <si>
    <t xml:space="preserve">Ticker</t>
  </si>
  <si>
    <t xml:space="preserve">Setup Type</t>
  </si>
  <si>
    <t xml:space="preserve">Direction</t>
  </si>
  <si>
    <t xml:space="preserve">Entry $</t>
  </si>
  <si>
    <t xml:space="preserve">Stop $</t>
  </si>
  <si>
    <t xml:space="preserve">Target $</t>
  </si>
  <si>
    <t xml:space="preserve">Exit $</t>
  </si>
  <si>
    <t xml:space="preserve">Shares</t>
  </si>
  <si>
    <t xml:space="preserve">Risk $</t>
  </si>
  <si>
    <t xml:space="preserve">P&amp;L $</t>
  </si>
  <si>
    <t xml:space="preserve">P&amp;L %</t>
  </si>
  <si>
    <t xml:space="preserve">R Multiple</t>
  </si>
  <si>
    <t xml:space="preserve">Win / Loss</t>
  </si>
  <si>
    <t xml:space="preserve">Grade</t>
  </si>
  <si>
    <t xml:space="preserve">Emotion</t>
  </si>
  <si>
    <t xml:space="preserve">Stop OK</t>
  </si>
  <si>
    <t xml:space="preserve">Mistake</t>
  </si>
  <si>
    <t xml:space="preserve">Notes</t>
  </si>
  <si>
    <t xml:space="preserve">1/15/2026</t>
  </si>
  <si>
    <t xml:space="preserve">NVDA</t>
  </si>
  <si>
    <t xml:space="preserve">Bull Flag</t>
  </si>
  <si>
    <t xml:space="preserve">Long</t>
  </si>
  <si>
    <t xml:space="preserve">A</t>
  </si>
  <si>
    <t xml:space="preserve">Calm</t>
  </si>
  <si>
    <t xml:space="preserve">Yes</t>
  </si>
  <si>
    <t xml:space="preserve">No</t>
  </si>
  <si>
    <t xml:space="preserve">Example row — clean bull flag, held 20 EMA, exited at first target. Delete when ready.</t>
  </si>
  <si>
    <t xml:space="preserve">TST TRADE JOURNAL  —  DASHBOARD</t>
  </si>
  <si>
    <t xml:space="preserve">Auto-populated from Trade Log. Do not edit this sheet.</t>
  </si>
  <si>
    <t xml:space="preserve">PERFORMANCE OVERVIEW</t>
  </si>
  <si>
    <t xml:space="preserve">GRADE BREAKDOWN</t>
  </si>
  <si>
    <t xml:space="preserve">BEHAVIORAL STATS</t>
  </si>
  <si>
    <t xml:space="preserve">Total trades</t>
  </si>
  <si>
    <t xml:space="preserve">Grade A trades</t>
  </si>
  <si>
    <t xml:space="preserve">Stops honored %</t>
  </si>
  <si>
    <t xml:space="preserve">Total P&amp;L</t>
  </si>
  <si>
    <t xml:space="preserve">Grade B trades</t>
  </si>
  <si>
    <t xml:space="preserve">Mistake-free %</t>
  </si>
  <si>
    <t xml:space="preserve">Win rate</t>
  </si>
  <si>
    <t xml:space="preserve">Grade C trades</t>
  </si>
  <si>
    <t xml:space="preserve">Calm trades %</t>
  </si>
  <si>
    <t xml:space="preserve">Average win $</t>
  </si>
  <si>
    <t xml:space="preserve">Grade D trades</t>
  </si>
  <si>
    <t xml:space="preserve">Long trades %</t>
  </si>
  <si>
    <t xml:space="preserve">Average loss $</t>
  </si>
  <si>
    <t xml:space="preserve">Grade F trades</t>
  </si>
  <si>
    <t xml:space="preserve">Profit factor</t>
  </si>
  <si>
    <t xml:space="preserve">Avg R multiple</t>
  </si>
  <si>
    <t xml:space="preserve">Largest win</t>
  </si>
  <si>
    <t xml:space="preserve">Largest loss</t>
  </si>
  <si>
    <t xml:space="preserve">Long trades</t>
  </si>
  <si>
    <t xml:space="preserve">Short trades</t>
  </si>
  <si>
    <t xml:space="preserve">Target benchmarks: Win Rate &gt; 50%  ·  Profit Factor &gt; 1.5  ·  Avg R &gt; 1.0  ·  Stops Honored = 100%  ·  All four green = you have a real edge.</t>
  </si>
  <si>
    <t xml:space="preserve">TST TRADE JOURNAL  —  WEEKLY REVIEW</t>
  </si>
  <si>
    <t xml:space="preserve">Complete one review per week. Be honest — this is the most important habit in trading.</t>
  </si>
  <si>
    <t xml:space="preserve">Week of:</t>
  </si>
  <si>
    <t xml:space="preserve">PERFORMANCE RECAP</t>
  </si>
  <si>
    <t xml:space="preserve">Total P&amp;L this week?</t>
  </si>
  <si>
    <t xml:space="preserve">Total trades taken?</t>
  </si>
  <si>
    <t xml:space="preserve">Win rate this week?</t>
  </si>
  <si>
    <t xml:space="preserve">Best trade — what worked and why?</t>
  </si>
  <si>
    <t xml:space="preserve">Worst trade — what went wrong?</t>
  </si>
  <si>
    <t xml:space="preserve">WHAT WENT WELL</t>
  </si>
  <si>
    <t xml:space="preserve">Which setups performed best this week?</t>
  </si>
  <si>
    <t xml:space="preserve">What did I do well behaviorally?</t>
  </si>
  <si>
    <t xml:space="preserve">Did I follow my pre-market routine consistently?</t>
  </si>
  <si>
    <t xml:space="preserve">WHAT NEEDS IMPROVEMENT</t>
  </si>
  <si>
    <t xml:space="preserve">Which rules did I break and why?</t>
  </si>
  <si>
    <t xml:space="preserve">What emotional patterns showed up this week?</t>
  </si>
  <si>
    <t xml:space="preserve">Were there any trades I should not have taken?</t>
  </si>
  <si>
    <t xml:space="preserve">Biggest mistake this week and how do I fix it?</t>
  </si>
  <si>
    <t xml:space="preserve">NEXT WEEK FOCUS</t>
  </si>
  <si>
    <t xml:space="preserve">The ONE behavioral thing I am working on next week:</t>
  </si>
  <si>
    <t xml:space="preserve">Which setups will I focus on?</t>
  </si>
  <si>
    <t xml:space="preserve">What will I do differently?</t>
  </si>
  <si>
    <t xml:space="preserve">Market conditions or events to be aware of:</t>
  </si>
  <si>
    <t xml:space="preserve">TST TRADE JOURNAL  —  DAILY SCORECARD</t>
  </si>
  <si>
    <t xml:space="preserve">Complete after every trading session. Answer honestly — the scorecard only works if you tell the truth.</t>
  </si>
  <si>
    <t xml:space="preserve">Date:</t>
  </si>
  <si>
    <t xml:space="preserve">Daily P&amp;L:</t>
  </si>
  <si>
    <t xml:space="preserve">#</t>
  </si>
  <si>
    <t xml:space="preserve">Question</t>
  </si>
  <si>
    <t xml:space="preserve">Yes / No</t>
  </si>
  <si>
    <t xml:space="preserve">Why it matters</t>
  </si>
  <si>
    <t xml:space="preserve">Did I complete my full pre-market routine before the open?</t>
  </si>
  <si>
    <t xml:space="preserve">No routine = reactive trading. Non-negotiable.</t>
  </si>
  <si>
    <t xml:space="preserve">Did I stick to my watchlist only — no off-list trades?</t>
  </si>
  <si>
    <t xml:space="preserve">Chasing stocks not on your list is a discipline failure.</t>
  </si>
  <si>
    <t xml:space="preserve">Did I overtrade? (More positions than planned)</t>
  </si>
  <si>
    <t xml:space="preserve">Define your max trades per day and honor it.</t>
  </si>
  <si>
    <t xml:space="preserve">Was I green before going red? (Gave back a profitable session)</t>
  </si>
  <si>
    <t xml:space="preserve">One of the most common and preventable losses in trading.</t>
  </si>
  <si>
    <t xml:space="preserve">Did I move any stop loss to avoid a loss?</t>
  </si>
  <si>
    <t xml:space="preserve">If yes, that small loss likely became a large one.</t>
  </si>
  <si>
    <t xml:space="preserve">Did I revenge trade after a loss?</t>
  </si>
  <si>
    <t xml:space="preserve">The trade after the loss is almost always the second mistake.</t>
  </si>
  <si>
    <t xml:space="preserve">Did I honor every stop loss exactly as placed?</t>
  </si>
  <si>
    <t xml:space="preserve">Stops honored = risk controlled. Non-negotiable.</t>
  </si>
  <si>
    <t xml:space="preserve">Did I take profits too early out of fear they would reverse?</t>
  </si>
  <si>
    <t xml:space="preserve">Cutting winners short destroys your R multiple over time.</t>
  </si>
  <si>
    <t xml:space="preserve">Did I chase any entries above my planned entry price?</t>
  </si>
  <si>
    <t xml:space="preserve">Chasing leads to poor entries and wider stops.</t>
  </si>
  <si>
    <t xml:space="preserve">Did I size up emotionally — not based on my position sizing formula?</t>
  </si>
  <si>
    <t xml:space="preserve">Emotional sizing is how good days turn into disasters.</t>
  </si>
  <si>
    <t xml:space="preserve">Did I stop trading after hitting my daily max loss?</t>
  </si>
  <si>
    <t xml:space="preserve">If you kept trading after max loss, you broke the most important rule.</t>
  </si>
  <si>
    <t xml:space="preserve">Did I journal all trades before closing the platform?</t>
  </si>
  <si>
    <t xml:space="preserve">Unjournaled trades are missed learning opportunities.</t>
  </si>
  <si>
    <t xml:space="preserve">Session Score (favorable answers)</t>
  </si>
  <si>
    <t xml:space="preserve">Out of 12.  Target: 10 or higher every session.</t>
  </si>
  <si>
    <t xml:space="preserve">Notes: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</si>
</sst>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#,##0"/>
    <numFmt numFmtId="167" formatCode="0.00%"/>
    <numFmt numFmtId="168" formatCode="0.00"/>
    <numFmt numFmtId="169" formatCode="0.0%"/>
    <numFmt numFmtId="170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E8F0E8"/>
      <name val="Arial"/>
      <family val="0"/>
      <charset val="1"/>
    </font>
    <font>
      <sz val="8"/>
      <color rgb="FF5A7A5A"/>
      <name val="Arial"/>
      <family val="0"/>
      <charset val="1"/>
    </font>
    <font>
      <b val="true"/>
      <sz val="8"/>
      <color rgb="FF0D1A0D"/>
      <name val="Arial"/>
      <family val="0"/>
      <charset val="1"/>
    </font>
    <font>
      <sz val="10"/>
      <color rgb="FF27500A"/>
      <name val="Arial"/>
      <family val="0"/>
      <charset val="1"/>
    </font>
    <font>
      <b val="true"/>
      <sz val="10"/>
      <color rgb="FF27500A"/>
      <name val="Arial"/>
      <family val="0"/>
      <charset val="1"/>
    </font>
    <font>
      <i val="true"/>
      <sz val="9"/>
      <color rgb="FF5A7A5A"/>
      <name val="Arial"/>
      <family val="0"/>
      <charset val="1"/>
    </font>
    <font>
      <sz val="10"/>
      <color rgb="FF0000AA"/>
      <name val="Arial"/>
      <family val="0"/>
      <charset val="1"/>
    </font>
    <font>
      <sz val="10"/>
      <color rgb="FF2A2A2A"/>
      <name val="Arial"/>
      <family val="0"/>
      <charset val="1"/>
    </font>
    <font>
      <b val="true"/>
      <sz val="9"/>
      <color rgb="FF0D1A0D"/>
      <name val="Arial"/>
      <family val="0"/>
      <charset val="1"/>
    </font>
    <font>
      <sz val="9"/>
      <color rgb="FF5A7A5A"/>
      <name val="Arial"/>
      <family val="0"/>
      <charset val="1"/>
    </font>
    <font>
      <b val="true"/>
      <sz val="13"/>
      <color rgb="FF0D1A0D"/>
      <name val="Arial"/>
      <family val="0"/>
      <charset val="1"/>
    </font>
    <font>
      <i val="true"/>
      <sz val="9"/>
      <color rgb="FF27500A"/>
      <name val="Arial"/>
      <family val="0"/>
      <charset val="1"/>
    </font>
    <font>
      <b val="true"/>
      <sz val="9"/>
      <color rgb="FF5A7A5A"/>
      <name val="Arial"/>
      <family val="0"/>
      <charset val="1"/>
    </font>
    <font>
      <sz val="9"/>
      <color rgb="FF1A2A1A"/>
      <name val="Arial"/>
      <family val="0"/>
      <charset val="1"/>
    </font>
    <font>
      <b val="true"/>
      <sz val="10"/>
      <color rgb="FF0000AA"/>
      <name val="Arial"/>
      <family val="0"/>
      <charset val="1"/>
    </font>
    <font>
      <i val="true"/>
      <sz val="8"/>
      <color rgb="FF5A7A5A"/>
      <name val="Arial"/>
      <family val="0"/>
      <charset val="1"/>
    </font>
    <font>
      <b val="true"/>
      <sz val="10"/>
      <color rgb="FFE8F0E8"/>
      <name val="Arial"/>
      <family val="0"/>
      <charset val="1"/>
    </font>
    <font>
      <b val="true"/>
      <sz val="14"/>
      <color rgb="FF0D1A0D"/>
      <name val="Arial"/>
      <family val="0"/>
      <charset val="1"/>
    </font>
    <font>
      <sz val="9"/>
      <color rgb="FFE8F0E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D1A0D"/>
        <bgColor rgb="FF1A2A1A"/>
      </patternFill>
    </fill>
    <fill>
      <patternFill patternType="solid">
        <fgColor rgb="FF1A3A1A"/>
        <bgColor rgb="FF1A2A1A"/>
      </patternFill>
    </fill>
    <fill>
      <patternFill patternType="solid">
        <fgColor rgb="FF4AB44A"/>
        <bgColor rgb="FF5A7A5A"/>
      </patternFill>
    </fill>
    <fill>
      <patternFill patternType="solid">
        <fgColor rgb="FFEAF3DE"/>
        <bgColor rgb="FFE8F0E8"/>
      </patternFill>
    </fill>
    <fill>
      <patternFill patternType="solid">
        <fgColor rgb="FFF2F7F2"/>
        <bgColor rgb="FFE8F0E8"/>
      </patternFill>
    </fill>
    <fill>
      <patternFill patternType="solid">
        <fgColor rgb="FFFFFFFF"/>
        <bgColor rgb="FFF2F7F2"/>
      </patternFill>
    </fill>
    <fill>
      <patternFill patternType="solid">
        <fgColor rgb="FFFFF8E0"/>
        <bgColor rgb="FFFFF0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4AB44A"/>
      </left>
      <right style="thin">
        <color rgb="FF4AB44A"/>
      </right>
      <top style="thin">
        <color rgb="FF4AB44A"/>
      </top>
      <bottom style="thin">
        <color rgb="FF4AB44A"/>
      </bottom>
      <diagonal/>
    </border>
    <border diagonalUp="false" diagonalDown="false">
      <left/>
      <right/>
      <top/>
      <bottom style="thin">
        <color rgb="FFC8D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name val="Arial"/>
        <charset val="1"/>
        <family val="0"/>
        <color rgb="FF27500A"/>
        <sz val="10"/>
      </font>
      <fill>
        <patternFill>
          <bgColor rgb="FFEAF3DE"/>
        </patternFill>
      </fill>
    </dxf>
    <dxf>
      <font>
        <name val="Arial"/>
        <charset val="1"/>
        <family val="0"/>
        <color rgb="FF791F1F"/>
        <sz val="10"/>
      </font>
      <fill>
        <patternFill>
          <bgColor rgb="FFFFF0F0"/>
        </patternFill>
      </fill>
    </dxf>
    <dxf>
      <font>
        <name val="Arial"/>
        <charset val="1"/>
        <family val="0"/>
        <b val="1"/>
        <color rgb="FF27500A"/>
        <sz val="10"/>
      </font>
      <fill>
        <patternFill>
          <bgColor rgb="FFEAF3DE"/>
        </patternFill>
      </fill>
    </dxf>
    <dxf>
      <font>
        <name val="Arial"/>
        <charset val="1"/>
        <family val="0"/>
        <b val="1"/>
        <color rgb="FF791F1F"/>
        <sz val="10"/>
      </font>
      <fill>
        <patternFill>
          <bgColor rgb="FFFFF0F0"/>
        </patternFill>
      </fill>
    </dxf>
    <dxf>
      <font>
        <name val="Arial"/>
        <charset val="1"/>
        <family val="0"/>
        <color rgb="FF27500A"/>
        <sz val="10"/>
      </font>
    </dxf>
    <dxf>
      <font>
        <name val="Arial"/>
        <charset val="1"/>
        <family val="0"/>
        <color rgb="FF791F1F"/>
        <sz val="10"/>
      </font>
    </dxf>
    <dxf>
      <font>
        <name val="Arial"/>
        <charset val="1"/>
        <family val="0"/>
        <b val="1"/>
        <color rgb="FF27500A"/>
        <sz val="13"/>
      </font>
    </dxf>
    <dxf>
      <font>
        <name val="Arial"/>
        <charset val="1"/>
        <family val="0"/>
        <b val="1"/>
        <color rgb="FF791F1F"/>
        <sz val="13"/>
      </font>
    </dxf>
    <dxf>
      <font>
        <name val="Arial"/>
        <charset val="1"/>
        <family val="0"/>
        <b val="1"/>
        <color rgb="FF0D1A0D"/>
        <sz val="14"/>
      </font>
      <fill>
        <patternFill>
          <bgColor rgb="FF4AB44A"/>
        </patternFill>
      </fill>
    </dxf>
    <dxf>
      <font>
        <name val="Arial"/>
        <charset val="1"/>
        <family val="0"/>
        <b val="1"/>
        <color rgb="FF5A3A00"/>
        <sz val="14"/>
      </font>
      <fill>
        <patternFill>
          <bgColor rgb="FFF5C842"/>
        </patternFill>
      </fill>
    </dxf>
    <dxf>
      <font>
        <name val="Arial"/>
        <charset val="1"/>
        <family val="0"/>
        <b val="1"/>
        <color rgb="FFFFFFFF"/>
        <sz val="14"/>
      </font>
      <fill>
        <patternFill>
          <bgColor rgb="FFD4444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D6A2D"/>
      <rgbColor rgb="FF0000AA"/>
      <rgbColor rgb="FF808000"/>
      <rgbColor rgb="FF800080"/>
      <rgbColor rgb="FF008080"/>
      <rgbColor rgb="FFC8D8C8"/>
      <rgbColor rgb="FF5A7A5A"/>
      <rgbColor rgb="FF9999FF"/>
      <rgbColor rgb="FFD44444"/>
      <rgbColor rgb="FFFFF8E0"/>
      <rgbColor rgb="FFE8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2"/>
      <rgbColor rgb="FFEAF3DE"/>
      <rgbColor rgb="FFFFF0F0"/>
      <rgbColor rgb="FF99CCFF"/>
      <rgbColor rgb="FFFF99CC"/>
      <rgbColor rgb="FFCC99FF"/>
      <rgbColor rgb="FFFFCC99"/>
      <rgbColor rgb="FF3366FF"/>
      <rgbColor rgb="FF33CCCC"/>
      <rgbColor rgb="FF99CC00"/>
      <rgbColor rgb="FFF5C842"/>
      <rgbColor rgb="FFFF9900"/>
      <rgbColor rgb="FFFF6600"/>
      <rgbColor rgb="FF666699"/>
      <rgbColor rgb="FF969696"/>
      <rgbColor rgb="FF0D1A0D"/>
      <rgbColor rgb="FF4AB44A"/>
      <rgbColor rgb="FF1A2A1A"/>
      <rgbColor rgb="FF1A3A1A"/>
      <rgbColor rgb="FF791F1F"/>
      <rgbColor rgb="FF5A3A00"/>
      <rgbColor rgb="FF27500A"/>
      <rgbColor rgb="FF2A2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B44A"/>
    <pageSetUpPr fitToPage="false"/>
  </sheetPr>
  <dimension ref="A1:S10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9" min="4" style="0" width="10"/>
    <col collapsed="false" customWidth="true" hidden="false" outlineLevel="0" max="11" min="10" style="0" width="12"/>
    <col collapsed="false" customWidth="true" hidden="false" outlineLevel="0" max="13" min="12" style="0" width="10"/>
    <col collapsed="false" customWidth="true" hidden="false" outlineLevel="0" max="14" min="14" style="0" width="11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2"/>
    <col collapsed="false" customWidth="true" hidden="false" outlineLevel="0" max="19" min="19" style="0" width="24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</row>
    <row r="4" customFormat="false" ht="18" hidden="false" customHeight="true" outlineLevel="0" collapsed="false">
      <c r="A4" s="4" t="s">
        <v>21</v>
      </c>
      <c r="B4" s="5" t="s">
        <v>22</v>
      </c>
      <c r="C4" s="4" t="s">
        <v>23</v>
      </c>
      <c r="D4" s="4" t="s">
        <v>24</v>
      </c>
      <c r="E4" s="6" t="n">
        <v>118.5</v>
      </c>
      <c r="F4" s="6" t="n">
        <v>115.5</v>
      </c>
      <c r="G4" s="6" t="n">
        <v>128</v>
      </c>
      <c r="H4" s="6" t="n">
        <v>126</v>
      </c>
      <c r="I4" s="7" t="n">
        <v>33</v>
      </c>
      <c r="J4" s="6" t="n">
        <f aca="false">IFERROR(IF(AND(E4&lt;&gt;"",F4&lt;&gt;"",I4&lt;&gt;""),ABS(E4-F4)*I4,""),("))))</f>
        <v>99</v>
      </c>
      <c r="K4" s="6" t="n">
        <f aca="false">IFERROR(IF(AND(E4&lt;&gt;"",H4&lt;&gt;"",I4&lt;&gt;""),IF(D4="Short",(E4-H4)*I4,(H4-E4)*I4),""),("))))</f>
        <v>247.5</v>
      </c>
      <c r="L4" s="8" t="n">
        <f aca="false">IFERROR(IF(AND(E4&lt;&gt;"",H4&lt;&gt;""),IF(D4="Short",(E4-H4)/E4,(H4-E4)/E4),""),("))))</f>
        <v>0.0632911392405063</v>
      </c>
      <c r="M4" s="9" t="n">
        <f aca="false">IFERROR(IF(AND(K4&lt;&gt;"",J4&lt;&gt;"",J4&lt;&gt;0),K4/J4,""),("))))</f>
        <v>2.5</v>
      </c>
      <c r="N4" s="4" t="str">
        <f aca="false">IFERROR(IF(K4="","",IF(K4&gt;0,"Win",IF(K4&lt;0,"Loss","BE"))),("))))</f>
        <v>Win</v>
      </c>
      <c r="O4" s="4" t="s">
        <v>25</v>
      </c>
      <c r="P4" s="4" t="s">
        <v>26</v>
      </c>
      <c r="Q4" s="4" t="s">
        <v>27</v>
      </c>
      <c r="R4" s="4" t="s">
        <v>28</v>
      </c>
      <c r="S4" s="10" t="s">
        <v>29</v>
      </c>
    </row>
    <row r="5" customFormat="false" ht="18" hidden="false" customHeight="true" outlineLevel="0" collapsed="false">
      <c r="A5" s="11"/>
      <c r="B5" s="11"/>
      <c r="C5" s="11"/>
      <c r="D5" s="11"/>
      <c r="E5" s="12"/>
      <c r="F5" s="12"/>
      <c r="G5" s="12"/>
      <c r="H5" s="12"/>
      <c r="I5" s="13"/>
      <c r="J5" s="14" t="str">
        <f aca="false">IFERROR(IF(AND(E5&lt;&gt;"",F5&lt;&gt;"",I5&lt;&gt;""),ABS(E5-F5)*I5,""),("))))</f>
        <v/>
      </c>
      <c r="K5" s="14" t="str">
        <f aca="false">IFERROR(IF(AND(E5&lt;&gt;"",H5&lt;&gt;"",I5&lt;&gt;""),IF(D5="Short",(E5-H5)*I5,(H5-E5)*I5),""),("))))</f>
        <v/>
      </c>
      <c r="L5" s="15" t="str">
        <f aca="false">IFERROR(IF(AND(E5&lt;&gt;"",H5&lt;&gt;""),IF(D5="Short",(E5-H5)/E5,(H5-E5)/E5),""),("))))</f>
        <v/>
      </c>
      <c r="M5" s="16" t="str">
        <f aca="false">IFERROR(IF(AND(K5&lt;&gt;"",J5&lt;&gt;"",J5&lt;&gt;0),K5/J5,""),("))))</f>
        <v/>
      </c>
      <c r="N5" s="17" t="str">
        <f aca="false">IFERROR(IF(K5="","",IF(K5&gt;0,"Win",IF(K5&lt;0,"Loss","BE"))),("))))</f>
        <v/>
      </c>
      <c r="O5" s="11"/>
      <c r="P5" s="11"/>
      <c r="Q5" s="11"/>
      <c r="R5" s="11"/>
      <c r="S5" s="18"/>
    </row>
    <row r="6" customFormat="false" ht="18" hidden="false" customHeight="true" outlineLevel="0" collapsed="false">
      <c r="A6" s="19"/>
      <c r="B6" s="19"/>
      <c r="C6" s="19"/>
      <c r="D6" s="19"/>
      <c r="E6" s="20"/>
      <c r="F6" s="20"/>
      <c r="G6" s="20"/>
      <c r="H6" s="20"/>
      <c r="I6" s="21"/>
      <c r="J6" s="22" t="str">
        <f aca="false">IFERROR(IF(AND(E6&lt;&gt;"",F6&lt;&gt;"",I6&lt;&gt;""),ABS(E6-F6)*I6,""),("))))</f>
        <v/>
      </c>
      <c r="K6" s="22" t="str">
        <f aca="false">IFERROR(IF(AND(E6&lt;&gt;"",H6&lt;&gt;"",I6&lt;&gt;""),IF(D6="Short",(E6-H6)*I6,(H6-E6)*I6),""),("))))</f>
        <v/>
      </c>
      <c r="L6" s="23" t="str">
        <f aca="false">IFERROR(IF(AND(E6&lt;&gt;"",H6&lt;&gt;""),IF(D6="Short",(E6-H6)/E6,(H6-E6)/E6),""),("))))</f>
        <v/>
      </c>
      <c r="M6" s="24" t="str">
        <f aca="false">IFERROR(IF(AND(K6&lt;&gt;"",J6&lt;&gt;"",J6&lt;&gt;0),K6/J6,""),("))))</f>
        <v/>
      </c>
      <c r="N6" s="25" t="str">
        <f aca="false">IFERROR(IF(K6="","",IF(K6&gt;0,"Win",IF(K6&lt;0,"Loss","BE"))),("))))</f>
        <v/>
      </c>
      <c r="O6" s="19"/>
      <c r="P6" s="19"/>
      <c r="Q6" s="19"/>
      <c r="R6" s="19"/>
      <c r="S6" s="26"/>
    </row>
    <row r="7" customFormat="false" ht="18" hidden="false" customHeight="true" outlineLevel="0" collapsed="false">
      <c r="A7" s="11"/>
      <c r="B7" s="11"/>
      <c r="C7" s="11"/>
      <c r="D7" s="11"/>
      <c r="E7" s="12"/>
      <c r="F7" s="12"/>
      <c r="G7" s="12"/>
      <c r="H7" s="12"/>
      <c r="I7" s="13"/>
      <c r="J7" s="14" t="str">
        <f aca="false">IFERROR(IF(AND(E7&lt;&gt;"",F7&lt;&gt;"",I7&lt;&gt;""),ABS(E7-F7)*I7,""),("))))</f>
        <v/>
      </c>
      <c r="K7" s="14" t="str">
        <f aca="false">IFERROR(IF(AND(E7&lt;&gt;"",H7&lt;&gt;"",I7&lt;&gt;""),IF(D7="Short",(E7-H7)*I7,(H7-E7)*I7),""),("))))</f>
        <v/>
      </c>
      <c r="L7" s="15" t="str">
        <f aca="false">IFERROR(IF(AND(E7&lt;&gt;"",H7&lt;&gt;""),IF(D7="Short",(E7-H7)/E7,(H7-E7)/E7),""),("))))</f>
        <v/>
      </c>
      <c r="M7" s="16" t="str">
        <f aca="false">IFERROR(IF(AND(K7&lt;&gt;"",J7&lt;&gt;"",J7&lt;&gt;0),K7/J7,""),("))))</f>
        <v/>
      </c>
      <c r="N7" s="17" t="str">
        <f aca="false">IFERROR(IF(K7="","",IF(K7&gt;0,"Win",IF(K7&lt;0,"Loss","BE"))),("))))</f>
        <v/>
      </c>
      <c r="O7" s="11"/>
      <c r="P7" s="11"/>
      <c r="Q7" s="11"/>
      <c r="R7" s="11"/>
      <c r="S7" s="18"/>
    </row>
    <row r="8" customFormat="false" ht="18" hidden="false" customHeight="true" outlineLevel="0" collapsed="false">
      <c r="A8" s="19"/>
      <c r="B8" s="19"/>
      <c r="C8" s="19"/>
      <c r="D8" s="19"/>
      <c r="E8" s="20"/>
      <c r="F8" s="20"/>
      <c r="G8" s="20"/>
      <c r="H8" s="20"/>
      <c r="I8" s="21"/>
      <c r="J8" s="22" t="str">
        <f aca="false">IFERROR(IF(AND(E8&lt;&gt;"",F8&lt;&gt;"",I8&lt;&gt;""),ABS(E8-F8)*I8,""),("))))</f>
        <v/>
      </c>
      <c r="K8" s="22" t="str">
        <f aca="false">IFERROR(IF(AND(E8&lt;&gt;"",H8&lt;&gt;"",I8&lt;&gt;""),IF(D8="Short",(E8-H8)*I8,(H8-E8)*I8),""),("))))</f>
        <v/>
      </c>
      <c r="L8" s="23" t="str">
        <f aca="false">IFERROR(IF(AND(E8&lt;&gt;"",H8&lt;&gt;""),IF(D8="Short",(E8-H8)/E8,(H8-E8)/E8),""),("))))</f>
        <v/>
      </c>
      <c r="M8" s="24" t="str">
        <f aca="false">IFERROR(IF(AND(K8&lt;&gt;"",J8&lt;&gt;"",J8&lt;&gt;0),K8/J8,""),("))))</f>
        <v/>
      </c>
      <c r="N8" s="25" t="str">
        <f aca="false">IFERROR(IF(K8="","",IF(K8&gt;0,"Win",IF(K8&lt;0,"Loss","BE"))),("))))</f>
        <v/>
      </c>
      <c r="O8" s="19"/>
      <c r="P8" s="19"/>
      <c r="Q8" s="19"/>
      <c r="R8" s="19"/>
      <c r="S8" s="26"/>
    </row>
    <row r="9" customFormat="false" ht="18" hidden="false" customHeight="true" outlineLevel="0" collapsed="false">
      <c r="A9" s="11"/>
      <c r="B9" s="11"/>
      <c r="C9" s="11"/>
      <c r="D9" s="11"/>
      <c r="E9" s="12"/>
      <c r="F9" s="12"/>
      <c r="G9" s="12"/>
      <c r="H9" s="12"/>
      <c r="I9" s="13"/>
      <c r="J9" s="14" t="str">
        <f aca="false">IFERROR(IF(AND(E9&lt;&gt;"",F9&lt;&gt;"",I9&lt;&gt;""),ABS(E9-F9)*I9,""),("))))</f>
        <v/>
      </c>
      <c r="K9" s="14" t="str">
        <f aca="false">IFERROR(IF(AND(E9&lt;&gt;"",H9&lt;&gt;"",I9&lt;&gt;""),IF(D9="Short",(E9-H9)*I9,(H9-E9)*I9),""),("))))</f>
        <v/>
      </c>
      <c r="L9" s="15" t="str">
        <f aca="false">IFERROR(IF(AND(E9&lt;&gt;"",H9&lt;&gt;""),IF(D9="Short",(E9-H9)/E9,(H9-E9)/E9),""),("))))</f>
        <v/>
      </c>
      <c r="M9" s="16" t="str">
        <f aca="false">IFERROR(IF(AND(K9&lt;&gt;"",J9&lt;&gt;"",J9&lt;&gt;0),K9/J9,""),("))))</f>
        <v/>
      </c>
      <c r="N9" s="17" t="str">
        <f aca="false">IFERROR(IF(K9="","",IF(K9&gt;0,"Win",IF(K9&lt;0,"Loss","BE"))),("))))</f>
        <v/>
      </c>
      <c r="O9" s="11"/>
      <c r="P9" s="11"/>
      <c r="Q9" s="11"/>
      <c r="R9" s="11"/>
      <c r="S9" s="18"/>
    </row>
    <row r="10" customFormat="false" ht="18" hidden="false" customHeight="true" outlineLevel="0" collapsed="false">
      <c r="A10" s="19"/>
      <c r="B10" s="19"/>
      <c r="C10" s="19"/>
      <c r="D10" s="19"/>
      <c r="E10" s="20"/>
      <c r="F10" s="20"/>
      <c r="G10" s="20"/>
      <c r="H10" s="20"/>
      <c r="I10" s="21"/>
      <c r="J10" s="22" t="str">
        <f aca="false">IFERROR(IF(AND(E10&lt;&gt;"",F10&lt;&gt;"",I10&lt;&gt;""),ABS(E10-F10)*I10,""),("))))</f>
        <v/>
      </c>
      <c r="K10" s="22" t="str">
        <f aca="false">IFERROR(IF(AND(E10&lt;&gt;"",H10&lt;&gt;"",I10&lt;&gt;""),IF(D10="Short",(E10-H10)*I10,(H10-E10)*I10),""),("))))</f>
        <v/>
      </c>
      <c r="L10" s="23" t="str">
        <f aca="false">IFERROR(IF(AND(E10&lt;&gt;"",H10&lt;&gt;""),IF(D10="Short",(E10-H10)/E10,(H10-E10)/E10),""),("))))</f>
        <v/>
      </c>
      <c r="M10" s="24" t="str">
        <f aca="false">IFERROR(IF(AND(K10&lt;&gt;"",J10&lt;&gt;"",J10&lt;&gt;0),K10/J10,""),("))))</f>
        <v/>
      </c>
      <c r="N10" s="25" t="str">
        <f aca="false">IFERROR(IF(K10="","",IF(K10&gt;0,"Win",IF(K10&lt;0,"Loss","BE"))),("))))</f>
        <v/>
      </c>
      <c r="O10" s="19"/>
      <c r="P10" s="19"/>
      <c r="Q10" s="19"/>
      <c r="R10" s="19"/>
      <c r="S10" s="26"/>
    </row>
    <row r="11" customFormat="false" ht="18" hidden="false" customHeight="true" outlineLevel="0" collapsed="false">
      <c r="A11" s="11"/>
      <c r="B11" s="11"/>
      <c r="C11" s="11"/>
      <c r="D11" s="11"/>
      <c r="E11" s="12"/>
      <c r="F11" s="12"/>
      <c r="G11" s="12"/>
      <c r="H11" s="12"/>
      <c r="I11" s="13"/>
      <c r="J11" s="14" t="str">
        <f aca="false">IFERROR(IF(AND(E11&lt;&gt;"",F11&lt;&gt;"",I11&lt;&gt;""),ABS(E11-F11)*I11,""),("))))</f>
        <v/>
      </c>
      <c r="K11" s="14" t="str">
        <f aca="false">IFERROR(IF(AND(E11&lt;&gt;"",H11&lt;&gt;"",I11&lt;&gt;""),IF(D11="Short",(E11-H11)*I11,(H11-E11)*I11),""),("))))</f>
        <v/>
      </c>
      <c r="L11" s="15" t="str">
        <f aca="false">IFERROR(IF(AND(E11&lt;&gt;"",H11&lt;&gt;""),IF(D11="Short",(E11-H11)/E11,(H11-E11)/E11),""),("))))</f>
        <v/>
      </c>
      <c r="M11" s="16" t="str">
        <f aca="false">IFERROR(IF(AND(K11&lt;&gt;"",J11&lt;&gt;"",J11&lt;&gt;0),K11/J11,""),("))))</f>
        <v/>
      </c>
      <c r="N11" s="17" t="str">
        <f aca="false">IFERROR(IF(K11="","",IF(K11&gt;0,"Win",IF(K11&lt;0,"Loss","BE"))),("))))</f>
        <v/>
      </c>
      <c r="O11" s="11"/>
      <c r="P11" s="11"/>
      <c r="Q11" s="11"/>
      <c r="R11" s="11"/>
      <c r="S11" s="18"/>
    </row>
    <row r="12" customFormat="false" ht="18" hidden="false" customHeight="true" outlineLevel="0" collapsed="false">
      <c r="A12" s="19"/>
      <c r="B12" s="19"/>
      <c r="C12" s="19"/>
      <c r="D12" s="19"/>
      <c r="E12" s="20"/>
      <c r="F12" s="20"/>
      <c r="G12" s="20"/>
      <c r="H12" s="20"/>
      <c r="I12" s="21"/>
      <c r="J12" s="22" t="str">
        <f aca="false">IFERROR(IF(AND(E12&lt;&gt;"",F12&lt;&gt;"",I12&lt;&gt;""),ABS(E12-F12)*I12,""),("))))</f>
        <v/>
      </c>
      <c r="K12" s="22" t="str">
        <f aca="false">IFERROR(IF(AND(E12&lt;&gt;"",H12&lt;&gt;"",I12&lt;&gt;""),IF(D12="Short",(E12-H12)*I12,(H12-E12)*I12),""),("))))</f>
        <v/>
      </c>
      <c r="L12" s="23" t="str">
        <f aca="false">IFERROR(IF(AND(E12&lt;&gt;"",H12&lt;&gt;""),IF(D12="Short",(E12-H12)/E12,(H12-E12)/E12),""),("))))</f>
        <v/>
      </c>
      <c r="M12" s="24" t="str">
        <f aca="false">IFERROR(IF(AND(K12&lt;&gt;"",J12&lt;&gt;"",J12&lt;&gt;0),K12/J12,""),("))))</f>
        <v/>
      </c>
      <c r="N12" s="25" t="str">
        <f aca="false">IFERROR(IF(K12="","",IF(K12&gt;0,"Win",IF(K12&lt;0,"Loss","BE"))),("))))</f>
        <v/>
      </c>
      <c r="O12" s="19"/>
      <c r="P12" s="19"/>
      <c r="Q12" s="19"/>
      <c r="R12" s="19"/>
      <c r="S12" s="26"/>
    </row>
    <row r="13" customFormat="false" ht="18" hidden="false" customHeight="true" outlineLevel="0" collapsed="false">
      <c r="A13" s="11"/>
      <c r="B13" s="11"/>
      <c r="C13" s="11"/>
      <c r="D13" s="11"/>
      <c r="E13" s="12"/>
      <c r="F13" s="12"/>
      <c r="G13" s="12"/>
      <c r="H13" s="12"/>
      <c r="I13" s="13"/>
      <c r="J13" s="14" t="str">
        <f aca="false">IFERROR(IF(AND(E13&lt;&gt;"",F13&lt;&gt;"",I13&lt;&gt;""),ABS(E13-F13)*I13,""),("))))</f>
        <v/>
      </c>
      <c r="K13" s="14" t="str">
        <f aca="false">IFERROR(IF(AND(E13&lt;&gt;"",H13&lt;&gt;"",I13&lt;&gt;""),IF(D13="Short",(E13-H13)*I13,(H13-E13)*I13),""),("))))</f>
        <v/>
      </c>
      <c r="L13" s="15" t="str">
        <f aca="false">IFERROR(IF(AND(E13&lt;&gt;"",H13&lt;&gt;""),IF(D13="Short",(E13-H13)/E13,(H13-E13)/E13),""),("))))</f>
        <v/>
      </c>
      <c r="M13" s="16" t="str">
        <f aca="false">IFERROR(IF(AND(K13&lt;&gt;"",J13&lt;&gt;"",J13&lt;&gt;0),K13/J13,""),("))))</f>
        <v/>
      </c>
      <c r="N13" s="17" t="str">
        <f aca="false">IFERROR(IF(K13="","",IF(K13&gt;0,"Win",IF(K13&lt;0,"Loss","BE"))),("))))</f>
        <v/>
      </c>
      <c r="O13" s="11"/>
      <c r="P13" s="11"/>
      <c r="Q13" s="11"/>
      <c r="R13" s="11"/>
      <c r="S13" s="18"/>
    </row>
    <row r="14" customFormat="false" ht="18" hidden="false" customHeight="true" outlineLevel="0" collapsed="false">
      <c r="A14" s="19"/>
      <c r="B14" s="19"/>
      <c r="C14" s="19"/>
      <c r="D14" s="19"/>
      <c r="E14" s="20"/>
      <c r="F14" s="20"/>
      <c r="G14" s="20"/>
      <c r="H14" s="20"/>
      <c r="I14" s="21"/>
      <c r="J14" s="22" t="str">
        <f aca="false">IFERROR(IF(AND(E14&lt;&gt;"",F14&lt;&gt;"",I14&lt;&gt;""),ABS(E14-F14)*I14,""),("))))</f>
        <v/>
      </c>
      <c r="K14" s="22" t="str">
        <f aca="false">IFERROR(IF(AND(E14&lt;&gt;"",H14&lt;&gt;"",I14&lt;&gt;""),IF(D14="Short",(E14-H14)*I14,(H14-E14)*I14),""),("))))</f>
        <v/>
      </c>
      <c r="L14" s="23" t="str">
        <f aca="false">IFERROR(IF(AND(E14&lt;&gt;"",H14&lt;&gt;""),IF(D14="Short",(E14-H14)/E14,(H14-E14)/E14),""),("))))</f>
        <v/>
      </c>
      <c r="M14" s="24" t="str">
        <f aca="false">IFERROR(IF(AND(K14&lt;&gt;"",J14&lt;&gt;"",J14&lt;&gt;0),K14/J14,""),("))))</f>
        <v/>
      </c>
      <c r="N14" s="25" t="str">
        <f aca="false">IFERROR(IF(K14="","",IF(K14&gt;0,"Win",IF(K14&lt;0,"Loss","BE"))),("))))</f>
        <v/>
      </c>
      <c r="O14" s="19"/>
      <c r="P14" s="19"/>
      <c r="Q14" s="19"/>
      <c r="R14" s="19"/>
      <c r="S14" s="26"/>
    </row>
    <row r="15" customFormat="false" ht="18" hidden="false" customHeight="true" outlineLevel="0" collapsed="false">
      <c r="A15" s="11"/>
      <c r="B15" s="11"/>
      <c r="C15" s="11"/>
      <c r="D15" s="11"/>
      <c r="E15" s="12"/>
      <c r="F15" s="12"/>
      <c r="G15" s="12"/>
      <c r="H15" s="12"/>
      <c r="I15" s="13"/>
      <c r="J15" s="14" t="str">
        <f aca="false">IFERROR(IF(AND(E15&lt;&gt;"",F15&lt;&gt;"",I15&lt;&gt;""),ABS(E15-F15)*I15,""),("))))</f>
        <v/>
      </c>
      <c r="K15" s="14" t="str">
        <f aca="false">IFERROR(IF(AND(E15&lt;&gt;"",H15&lt;&gt;"",I15&lt;&gt;""),IF(D15="Short",(E15-H15)*I15,(H15-E15)*I15),""),("))))</f>
        <v/>
      </c>
      <c r="L15" s="15" t="str">
        <f aca="false">IFERROR(IF(AND(E15&lt;&gt;"",H15&lt;&gt;""),IF(D15="Short",(E15-H15)/E15,(H15-E15)/E15),""),("))))</f>
        <v/>
      </c>
      <c r="M15" s="16" t="str">
        <f aca="false">IFERROR(IF(AND(K15&lt;&gt;"",J15&lt;&gt;"",J15&lt;&gt;0),K15/J15,""),("))))</f>
        <v/>
      </c>
      <c r="N15" s="17" t="str">
        <f aca="false">IFERROR(IF(K15="","",IF(K15&gt;0,"Win",IF(K15&lt;0,"Loss","BE"))),("))))</f>
        <v/>
      </c>
      <c r="O15" s="11"/>
      <c r="P15" s="11"/>
      <c r="Q15" s="11"/>
      <c r="R15" s="11"/>
      <c r="S15" s="18"/>
    </row>
    <row r="16" customFormat="false" ht="18" hidden="false" customHeight="true" outlineLevel="0" collapsed="false">
      <c r="A16" s="19"/>
      <c r="B16" s="19"/>
      <c r="C16" s="19"/>
      <c r="D16" s="19"/>
      <c r="E16" s="20"/>
      <c r="F16" s="20"/>
      <c r="G16" s="20"/>
      <c r="H16" s="20"/>
      <c r="I16" s="21"/>
      <c r="J16" s="22" t="str">
        <f aca="false">IFERROR(IF(AND(E16&lt;&gt;"",F16&lt;&gt;"",I16&lt;&gt;""),ABS(E16-F16)*I16,""),("))))</f>
        <v/>
      </c>
      <c r="K16" s="22" t="str">
        <f aca="false">IFERROR(IF(AND(E16&lt;&gt;"",H16&lt;&gt;"",I16&lt;&gt;""),IF(D16="Short",(E16-H16)*I16,(H16-E16)*I16),""),("))))</f>
        <v/>
      </c>
      <c r="L16" s="23" t="str">
        <f aca="false">IFERROR(IF(AND(E16&lt;&gt;"",H16&lt;&gt;""),IF(D16="Short",(E16-H16)/E16,(H16-E16)/E16),""),("))))</f>
        <v/>
      </c>
      <c r="M16" s="24" t="str">
        <f aca="false">IFERROR(IF(AND(K16&lt;&gt;"",J16&lt;&gt;"",J16&lt;&gt;0),K16/J16,""),("))))</f>
        <v/>
      </c>
      <c r="N16" s="25" t="str">
        <f aca="false">IFERROR(IF(K16="","",IF(K16&gt;0,"Win",IF(K16&lt;0,"Loss","BE"))),("))))</f>
        <v/>
      </c>
      <c r="O16" s="19"/>
      <c r="P16" s="19"/>
      <c r="Q16" s="19"/>
      <c r="R16" s="19"/>
      <c r="S16" s="26"/>
    </row>
    <row r="17" customFormat="false" ht="18" hidden="false" customHeight="true" outlineLevel="0" collapsed="false">
      <c r="A17" s="11"/>
      <c r="B17" s="11"/>
      <c r="C17" s="11"/>
      <c r="D17" s="11"/>
      <c r="E17" s="12"/>
      <c r="F17" s="12"/>
      <c r="G17" s="12"/>
      <c r="H17" s="12"/>
      <c r="I17" s="13"/>
      <c r="J17" s="14" t="str">
        <f aca="false">IFERROR(IF(AND(E17&lt;&gt;"",F17&lt;&gt;"",I17&lt;&gt;""),ABS(E17-F17)*I17,""),("))))</f>
        <v/>
      </c>
      <c r="K17" s="14" t="str">
        <f aca="false">IFERROR(IF(AND(E17&lt;&gt;"",H17&lt;&gt;"",I17&lt;&gt;""),IF(D17="Short",(E17-H17)*I17,(H17-E17)*I17),""),("))))</f>
        <v/>
      </c>
      <c r="L17" s="15" t="str">
        <f aca="false">IFERROR(IF(AND(E17&lt;&gt;"",H17&lt;&gt;""),IF(D17="Short",(E17-H17)/E17,(H17-E17)/E17),""),("))))</f>
        <v/>
      </c>
      <c r="M17" s="16" t="str">
        <f aca="false">IFERROR(IF(AND(K17&lt;&gt;"",J17&lt;&gt;"",J17&lt;&gt;0),K17/J17,""),("))))</f>
        <v/>
      </c>
      <c r="N17" s="17" t="str">
        <f aca="false">IFERROR(IF(K17="","",IF(K17&gt;0,"Win",IF(K17&lt;0,"Loss","BE"))),("))))</f>
        <v/>
      </c>
      <c r="O17" s="11"/>
      <c r="P17" s="11"/>
      <c r="Q17" s="11"/>
      <c r="R17" s="11"/>
      <c r="S17" s="18"/>
    </row>
    <row r="18" customFormat="false" ht="18" hidden="false" customHeight="true" outlineLevel="0" collapsed="false">
      <c r="A18" s="19"/>
      <c r="B18" s="19"/>
      <c r="C18" s="19"/>
      <c r="D18" s="19"/>
      <c r="E18" s="20"/>
      <c r="F18" s="20"/>
      <c r="G18" s="20"/>
      <c r="H18" s="20"/>
      <c r="I18" s="21"/>
      <c r="J18" s="22" t="str">
        <f aca="false">IFERROR(IF(AND(E18&lt;&gt;"",F18&lt;&gt;"",I18&lt;&gt;""),ABS(E18-F18)*I18,""),("))))</f>
        <v/>
      </c>
      <c r="K18" s="22" t="str">
        <f aca="false">IFERROR(IF(AND(E18&lt;&gt;"",H18&lt;&gt;"",I18&lt;&gt;""),IF(D18="Short",(E18-H18)*I18,(H18-E18)*I18),""),("))))</f>
        <v/>
      </c>
      <c r="L18" s="23" t="str">
        <f aca="false">IFERROR(IF(AND(E18&lt;&gt;"",H18&lt;&gt;""),IF(D18="Short",(E18-H18)/E18,(H18-E18)/E18),""),("))))</f>
        <v/>
      </c>
      <c r="M18" s="24" t="str">
        <f aca="false">IFERROR(IF(AND(K18&lt;&gt;"",J18&lt;&gt;"",J18&lt;&gt;0),K18/J18,""),("))))</f>
        <v/>
      </c>
      <c r="N18" s="25" t="str">
        <f aca="false">IFERROR(IF(K18="","",IF(K18&gt;0,"Win",IF(K18&lt;0,"Loss","BE"))),("))))</f>
        <v/>
      </c>
      <c r="O18" s="19"/>
      <c r="P18" s="19"/>
      <c r="Q18" s="19"/>
      <c r="R18" s="19"/>
      <c r="S18" s="26"/>
    </row>
    <row r="19" customFormat="false" ht="18" hidden="false" customHeight="true" outlineLevel="0" collapsed="false">
      <c r="A19" s="11"/>
      <c r="B19" s="11"/>
      <c r="C19" s="11"/>
      <c r="D19" s="11"/>
      <c r="E19" s="12"/>
      <c r="F19" s="12"/>
      <c r="G19" s="12"/>
      <c r="H19" s="12"/>
      <c r="I19" s="13"/>
      <c r="J19" s="14" t="str">
        <f aca="false">IFERROR(IF(AND(E19&lt;&gt;"",F19&lt;&gt;"",I19&lt;&gt;""),ABS(E19-F19)*I19,""),("))))</f>
        <v/>
      </c>
      <c r="K19" s="14" t="str">
        <f aca="false">IFERROR(IF(AND(E19&lt;&gt;"",H19&lt;&gt;"",I19&lt;&gt;""),IF(D19="Short",(E19-H19)*I19,(H19-E19)*I19),""),("))))</f>
        <v/>
      </c>
      <c r="L19" s="15" t="str">
        <f aca="false">IFERROR(IF(AND(E19&lt;&gt;"",H19&lt;&gt;""),IF(D19="Short",(E19-H19)/E19,(H19-E19)/E19),""),("))))</f>
        <v/>
      </c>
      <c r="M19" s="16" t="str">
        <f aca="false">IFERROR(IF(AND(K19&lt;&gt;"",J19&lt;&gt;"",J19&lt;&gt;0),K19/J19,""),("))))</f>
        <v/>
      </c>
      <c r="N19" s="17" t="str">
        <f aca="false">IFERROR(IF(K19="","",IF(K19&gt;0,"Win",IF(K19&lt;0,"Loss","BE"))),("))))</f>
        <v/>
      </c>
      <c r="O19" s="11"/>
      <c r="P19" s="11"/>
      <c r="Q19" s="11"/>
      <c r="R19" s="11"/>
      <c r="S19" s="18"/>
    </row>
    <row r="20" customFormat="false" ht="18" hidden="false" customHeight="true" outlineLevel="0" collapsed="false">
      <c r="A20" s="19"/>
      <c r="B20" s="19"/>
      <c r="C20" s="19"/>
      <c r="D20" s="19"/>
      <c r="E20" s="20"/>
      <c r="F20" s="20"/>
      <c r="G20" s="20"/>
      <c r="H20" s="20"/>
      <c r="I20" s="21"/>
      <c r="J20" s="22" t="str">
        <f aca="false">IFERROR(IF(AND(E20&lt;&gt;"",F20&lt;&gt;"",I20&lt;&gt;""),ABS(E20-F20)*I20,""),("))))</f>
        <v/>
      </c>
      <c r="K20" s="22" t="str">
        <f aca="false">IFERROR(IF(AND(E20&lt;&gt;"",H20&lt;&gt;"",I20&lt;&gt;""),IF(D20="Short",(E20-H20)*I20,(H20-E20)*I20),""),("))))</f>
        <v/>
      </c>
      <c r="L20" s="23" t="str">
        <f aca="false">IFERROR(IF(AND(E20&lt;&gt;"",H20&lt;&gt;""),IF(D20="Short",(E20-H20)/E20,(H20-E20)/E20),""),("))))</f>
        <v/>
      </c>
      <c r="M20" s="24" t="str">
        <f aca="false">IFERROR(IF(AND(K20&lt;&gt;"",J20&lt;&gt;"",J20&lt;&gt;0),K20/J20,""),("))))</f>
        <v/>
      </c>
      <c r="N20" s="25" t="str">
        <f aca="false">IFERROR(IF(K20="","",IF(K20&gt;0,"Win",IF(K20&lt;0,"Loss","BE"))),("))))</f>
        <v/>
      </c>
      <c r="O20" s="19"/>
      <c r="P20" s="19"/>
      <c r="Q20" s="19"/>
      <c r="R20" s="19"/>
      <c r="S20" s="26"/>
    </row>
    <row r="21" customFormat="false" ht="18" hidden="false" customHeight="true" outlineLevel="0" collapsed="false">
      <c r="A21" s="11"/>
      <c r="B21" s="11"/>
      <c r="C21" s="11"/>
      <c r="D21" s="11"/>
      <c r="E21" s="12"/>
      <c r="F21" s="12"/>
      <c r="G21" s="12"/>
      <c r="H21" s="12"/>
      <c r="I21" s="13"/>
      <c r="J21" s="14" t="str">
        <f aca="false">IFERROR(IF(AND(E21&lt;&gt;"",F21&lt;&gt;"",I21&lt;&gt;""),ABS(E21-F21)*I21,""),("))))</f>
        <v/>
      </c>
      <c r="K21" s="14" t="str">
        <f aca="false">IFERROR(IF(AND(E21&lt;&gt;"",H21&lt;&gt;"",I21&lt;&gt;""),IF(D21="Short",(E21-H21)*I21,(H21-E21)*I21),""),("))))</f>
        <v/>
      </c>
      <c r="L21" s="15" t="str">
        <f aca="false">IFERROR(IF(AND(E21&lt;&gt;"",H21&lt;&gt;""),IF(D21="Short",(E21-H21)/E21,(H21-E21)/E21),""),("))))</f>
        <v/>
      </c>
      <c r="M21" s="16" t="str">
        <f aca="false">IFERROR(IF(AND(K21&lt;&gt;"",J21&lt;&gt;"",J21&lt;&gt;0),K21/J21,""),("))))</f>
        <v/>
      </c>
      <c r="N21" s="17" t="str">
        <f aca="false">IFERROR(IF(K21="","",IF(K21&gt;0,"Win",IF(K21&lt;0,"Loss","BE"))),("))))</f>
        <v/>
      </c>
      <c r="O21" s="11"/>
      <c r="P21" s="11"/>
      <c r="Q21" s="11"/>
      <c r="R21" s="11"/>
      <c r="S21" s="18"/>
    </row>
    <row r="22" customFormat="false" ht="18" hidden="false" customHeight="true" outlineLevel="0" collapsed="false">
      <c r="A22" s="19"/>
      <c r="B22" s="19"/>
      <c r="C22" s="19"/>
      <c r="D22" s="19"/>
      <c r="E22" s="20"/>
      <c r="F22" s="20"/>
      <c r="G22" s="20"/>
      <c r="H22" s="20"/>
      <c r="I22" s="21"/>
      <c r="J22" s="22" t="str">
        <f aca="false">IFERROR(IF(AND(E22&lt;&gt;"",F22&lt;&gt;"",I22&lt;&gt;""),ABS(E22-F22)*I22,""),("))))</f>
        <v/>
      </c>
      <c r="K22" s="22" t="str">
        <f aca="false">IFERROR(IF(AND(E22&lt;&gt;"",H22&lt;&gt;"",I22&lt;&gt;""),IF(D22="Short",(E22-H22)*I22,(H22-E22)*I22),""),("))))</f>
        <v/>
      </c>
      <c r="L22" s="23" t="str">
        <f aca="false">IFERROR(IF(AND(E22&lt;&gt;"",H22&lt;&gt;""),IF(D22="Short",(E22-H22)/E22,(H22-E22)/E22),""),("))))</f>
        <v/>
      </c>
      <c r="M22" s="24" t="str">
        <f aca="false">IFERROR(IF(AND(K22&lt;&gt;"",J22&lt;&gt;"",J22&lt;&gt;0),K22/J22,""),("))))</f>
        <v/>
      </c>
      <c r="N22" s="25" t="str">
        <f aca="false">IFERROR(IF(K22="","",IF(K22&gt;0,"Win",IF(K22&lt;0,"Loss","BE"))),("))))</f>
        <v/>
      </c>
      <c r="O22" s="19"/>
      <c r="P22" s="19"/>
      <c r="Q22" s="19"/>
      <c r="R22" s="19"/>
      <c r="S22" s="26"/>
    </row>
    <row r="23" customFormat="false" ht="18" hidden="false" customHeight="true" outlineLevel="0" collapsed="false">
      <c r="A23" s="11"/>
      <c r="B23" s="11"/>
      <c r="C23" s="11"/>
      <c r="D23" s="11"/>
      <c r="E23" s="12"/>
      <c r="F23" s="12"/>
      <c r="G23" s="12"/>
      <c r="H23" s="12"/>
      <c r="I23" s="13"/>
      <c r="J23" s="14" t="str">
        <f aca="false">IFERROR(IF(AND(E23&lt;&gt;"",F23&lt;&gt;"",I23&lt;&gt;""),ABS(E23-F23)*I23,""),("))))</f>
        <v/>
      </c>
      <c r="K23" s="14" t="str">
        <f aca="false">IFERROR(IF(AND(E23&lt;&gt;"",H23&lt;&gt;"",I23&lt;&gt;""),IF(D23="Short",(E23-H23)*I23,(H23-E23)*I23),""),("))))</f>
        <v/>
      </c>
      <c r="L23" s="15" t="str">
        <f aca="false">IFERROR(IF(AND(E23&lt;&gt;"",H23&lt;&gt;""),IF(D23="Short",(E23-H23)/E23,(H23-E23)/E23),""),("))))</f>
        <v/>
      </c>
      <c r="M23" s="16" t="str">
        <f aca="false">IFERROR(IF(AND(K23&lt;&gt;"",J23&lt;&gt;"",J23&lt;&gt;0),K23/J23,""),("))))</f>
        <v/>
      </c>
      <c r="N23" s="17" t="str">
        <f aca="false">IFERROR(IF(K23="","",IF(K23&gt;0,"Win",IF(K23&lt;0,"Loss","BE"))),("))))</f>
        <v/>
      </c>
      <c r="O23" s="11"/>
      <c r="P23" s="11"/>
      <c r="Q23" s="11"/>
      <c r="R23" s="11"/>
      <c r="S23" s="18"/>
    </row>
    <row r="24" customFormat="false" ht="18" hidden="false" customHeight="true" outlineLevel="0" collapsed="false">
      <c r="A24" s="19"/>
      <c r="B24" s="19"/>
      <c r="C24" s="19"/>
      <c r="D24" s="19"/>
      <c r="E24" s="20"/>
      <c r="F24" s="20"/>
      <c r="G24" s="20"/>
      <c r="H24" s="20"/>
      <c r="I24" s="21"/>
      <c r="J24" s="22" t="str">
        <f aca="false">IFERROR(IF(AND(E24&lt;&gt;"",F24&lt;&gt;"",I24&lt;&gt;""),ABS(E24-F24)*I24,""),("))))</f>
        <v/>
      </c>
      <c r="K24" s="22" t="str">
        <f aca="false">IFERROR(IF(AND(E24&lt;&gt;"",H24&lt;&gt;"",I24&lt;&gt;""),IF(D24="Short",(E24-H24)*I24,(H24-E24)*I24),""),("))))</f>
        <v/>
      </c>
      <c r="L24" s="23" t="str">
        <f aca="false">IFERROR(IF(AND(E24&lt;&gt;"",H24&lt;&gt;""),IF(D24="Short",(E24-H24)/E24,(H24-E24)/E24),""),("))))</f>
        <v/>
      </c>
      <c r="M24" s="24" t="str">
        <f aca="false">IFERROR(IF(AND(K24&lt;&gt;"",J24&lt;&gt;"",J24&lt;&gt;0),K24/J24,""),("))))</f>
        <v/>
      </c>
      <c r="N24" s="25" t="str">
        <f aca="false">IFERROR(IF(K24="","",IF(K24&gt;0,"Win",IF(K24&lt;0,"Loss","BE"))),("))))</f>
        <v/>
      </c>
      <c r="O24" s="19"/>
      <c r="P24" s="19"/>
      <c r="Q24" s="19"/>
      <c r="R24" s="19"/>
      <c r="S24" s="26"/>
    </row>
    <row r="25" customFormat="false" ht="18" hidden="false" customHeight="true" outlineLevel="0" collapsed="false">
      <c r="A25" s="11"/>
      <c r="B25" s="11"/>
      <c r="C25" s="11"/>
      <c r="D25" s="11"/>
      <c r="E25" s="12"/>
      <c r="F25" s="12"/>
      <c r="G25" s="12"/>
      <c r="H25" s="12"/>
      <c r="I25" s="13"/>
      <c r="J25" s="14" t="str">
        <f aca="false">IFERROR(IF(AND(E25&lt;&gt;"",F25&lt;&gt;"",I25&lt;&gt;""),ABS(E25-F25)*I25,""),("))))</f>
        <v/>
      </c>
      <c r="K25" s="14" t="str">
        <f aca="false">IFERROR(IF(AND(E25&lt;&gt;"",H25&lt;&gt;"",I25&lt;&gt;""),IF(D25="Short",(E25-H25)*I25,(H25-E25)*I25),""),("))))</f>
        <v/>
      </c>
      <c r="L25" s="15" t="str">
        <f aca="false">IFERROR(IF(AND(E25&lt;&gt;"",H25&lt;&gt;""),IF(D25="Short",(E25-H25)/E25,(H25-E25)/E25),""),("))))</f>
        <v/>
      </c>
      <c r="M25" s="16" t="str">
        <f aca="false">IFERROR(IF(AND(K25&lt;&gt;"",J25&lt;&gt;"",J25&lt;&gt;0),K25/J25,""),("))))</f>
        <v/>
      </c>
      <c r="N25" s="17" t="str">
        <f aca="false">IFERROR(IF(K25="","",IF(K25&gt;0,"Win",IF(K25&lt;0,"Loss","BE"))),("))))</f>
        <v/>
      </c>
      <c r="O25" s="11"/>
      <c r="P25" s="11"/>
      <c r="Q25" s="11"/>
      <c r="R25" s="11"/>
      <c r="S25" s="18"/>
    </row>
    <row r="26" customFormat="false" ht="18" hidden="false" customHeight="true" outlineLevel="0" collapsed="false">
      <c r="A26" s="19"/>
      <c r="B26" s="19"/>
      <c r="C26" s="19"/>
      <c r="D26" s="19"/>
      <c r="E26" s="20"/>
      <c r="F26" s="20"/>
      <c r="G26" s="20"/>
      <c r="H26" s="20"/>
      <c r="I26" s="21"/>
      <c r="J26" s="22" t="str">
        <f aca="false">IFERROR(IF(AND(E26&lt;&gt;"",F26&lt;&gt;"",I26&lt;&gt;""),ABS(E26-F26)*I26,""),("))))</f>
        <v/>
      </c>
      <c r="K26" s="22" t="str">
        <f aca="false">IFERROR(IF(AND(E26&lt;&gt;"",H26&lt;&gt;"",I26&lt;&gt;""),IF(D26="Short",(E26-H26)*I26,(H26-E26)*I26),""),("))))</f>
        <v/>
      </c>
      <c r="L26" s="23" t="str">
        <f aca="false">IFERROR(IF(AND(E26&lt;&gt;"",H26&lt;&gt;""),IF(D26="Short",(E26-H26)/E26,(H26-E26)/E26),""),("))))</f>
        <v/>
      </c>
      <c r="M26" s="24" t="str">
        <f aca="false">IFERROR(IF(AND(K26&lt;&gt;"",J26&lt;&gt;"",J26&lt;&gt;0),K26/J26,""),("))))</f>
        <v/>
      </c>
      <c r="N26" s="25" t="str">
        <f aca="false">IFERROR(IF(K26="","",IF(K26&gt;0,"Win",IF(K26&lt;0,"Loss","BE"))),("))))</f>
        <v/>
      </c>
      <c r="O26" s="19"/>
      <c r="P26" s="19"/>
      <c r="Q26" s="19"/>
      <c r="R26" s="19"/>
      <c r="S26" s="26"/>
    </row>
    <row r="27" customFormat="false" ht="18" hidden="false" customHeight="true" outlineLevel="0" collapsed="false">
      <c r="A27" s="11"/>
      <c r="B27" s="11"/>
      <c r="C27" s="11"/>
      <c r="D27" s="11"/>
      <c r="E27" s="12"/>
      <c r="F27" s="12"/>
      <c r="G27" s="12"/>
      <c r="H27" s="12"/>
      <c r="I27" s="13"/>
      <c r="J27" s="14" t="str">
        <f aca="false">IFERROR(IF(AND(E27&lt;&gt;"",F27&lt;&gt;"",I27&lt;&gt;""),ABS(E27-F27)*I27,""),("))))</f>
        <v/>
      </c>
      <c r="K27" s="14" t="str">
        <f aca="false">IFERROR(IF(AND(E27&lt;&gt;"",H27&lt;&gt;"",I27&lt;&gt;""),IF(D27="Short",(E27-H27)*I27,(H27-E27)*I27),""),("))))</f>
        <v/>
      </c>
      <c r="L27" s="15" t="str">
        <f aca="false">IFERROR(IF(AND(E27&lt;&gt;"",H27&lt;&gt;""),IF(D27="Short",(E27-H27)/E27,(H27-E27)/E27),""),("))))</f>
        <v/>
      </c>
      <c r="M27" s="16" t="str">
        <f aca="false">IFERROR(IF(AND(K27&lt;&gt;"",J27&lt;&gt;"",J27&lt;&gt;0),K27/J27,""),("))))</f>
        <v/>
      </c>
      <c r="N27" s="17" t="str">
        <f aca="false">IFERROR(IF(K27="","",IF(K27&gt;0,"Win",IF(K27&lt;0,"Loss","BE"))),("))))</f>
        <v/>
      </c>
      <c r="O27" s="11"/>
      <c r="P27" s="11"/>
      <c r="Q27" s="11"/>
      <c r="R27" s="11"/>
      <c r="S27" s="18"/>
    </row>
    <row r="28" customFormat="false" ht="18" hidden="false" customHeight="true" outlineLevel="0" collapsed="false">
      <c r="A28" s="19"/>
      <c r="B28" s="19"/>
      <c r="C28" s="19"/>
      <c r="D28" s="19"/>
      <c r="E28" s="20"/>
      <c r="F28" s="20"/>
      <c r="G28" s="20"/>
      <c r="H28" s="20"/>
      <c r="I28" s="21"/>
      <c r="J28" s="22" t="str">
        <f aca="false">IFERROR(IF(AND(E28&lt;&gt;"",F28&lt;&gt;"",I28&lt;&gt;""),ABS(E28-F28)*I28,""),("))))</f>
        <v/>
      </c>
      <c r="K28" s="22" t="str">
        <f aca="false">IFERROR(IF(AND(E28&lt;&gt;"",H28&lt;&gt;"",I28&lt;&gt;""),IF(D28="Short",(E28-H28)*I28,(H28-E28)*I28),""),("))))</f>
        <v/>
      </c>
      <c r="L28" s="23" t="str">
        <f aca="false">IFERROR(IF(AND(E28&lt;&gt;"",H28&lt;&gt;""),IF(D28="Short",(E28-H28)/E28,(H28-E28)/E28),""),("))))</f>
        <v/>
      </c>
      <c r="M28" s="24" t="str">
        <f aca="false">IFERROR(IF(AND(K28&lt;&gt;"",J28&lt;&gt;"",J28&lt;&gt;0),K28/J28,""),("))))</f>
        <v/>
      </c>
      <c r="N28" s="25" t="str">
        <f aca="false">IFERROR(IF(K28="","",IF(K28&gt;0,"Win",IF(K28&lt;0,"Loss","BE"))),("))))</f>
        <v/>
      </c>
      <c r="O28" s="19"/>
      <c r="P28" s="19"/>
      <c r="Q28" s="19"/>
      <c r="R28" s="19"/>
      <c r="S28" s="26"/>
    </row>
    <row r="29" customFormat="false" ht="18" hidden="false" customHeight="true" outlineLevel="0" collapsed="false">
      <c r="A29" s="11"/>
      <c r="B29" s="11"/>
      <c r="C29" s="11"/>
      <c r="D29" s="11"/>
      <c r="E29" s="12"/>
      <c r="F29" s="12"/>
      <c r="G29" s="12"/>
      <c r="H29" s="12"/>
      <c r="I29" s="13"/>
      <c r="J29" s="14" t="str">
        <f aca="false">IFERROR(IF(AND(E29&lt;&gt;"",F29&lt;&gt;"",I29&lt;&gt;""),ABS(E29-F29)*I29,""),("))))</f>
        <v/>
      </c>
      <c r="K29" s="14" t="str">
        <f aca="false">IFERROR(IF(AND(E29&lt;&gt;"",H29&lt;&gt;"",I29&lt;&gt;""),IF(D29="Short",(E29-H29)*I29,(H29-E29)*I29),""),("))))</f>
        <v/>
      </c>
      <c r="L29" s="15" t="str">
        <f aca="false">IFERROR(IF(AND(E29&lt;&gt;"",H29&lt;&gt;""),IF(D29="Short",(E29-H29)/E29,(H29-E29)/E29),""),("))))</f>
        <v/>
      </c>
      <c r="M29" s="16" t="str">
        <f aca="false">IFERROR(IF(AND(K29&lt;&gt;"",J29&lt;&gt;"",J29&lt;&gt;0),K29/J29,""),("))))</f>
        <v/>
      </c>
      <c r="N29" s="17" t="str">
        <f aca="false">IFERROR(IF(K29="","",IF(K29&gt;0,"Win",IF(K29&lt;0,"Loss","BE"))),("))))</f>
        <v/>
      </c>
      <c r="O29" s="11"/>
      <c r="P29" s="11"/>
      <c r="Q29" s="11"/>
      <c r="R29" s="11"/>
      <c r="S29" s="18"/>
    </row>
    <row r="30" customFormat="false" ht="18" hidden="false" customHeight="true" outlineLevel="0" collapsed="false">
      <c r="A30" s="19"/>
      <c r="B30" s="19"/>
      <c r="C30" s="19"/>
      <c r="D30" s="19"/>
      <c r="E30" s="20"/>
      <c r="F30" s="20"/>
      <c r="G30" s="20"/>
      <c r="H30" s="20"/>
      <c r="I30" s="21"/>
      <c r="J30" s="22" t="str">
        <f aca="false">IFERROR(IF(AND(E30&lt;&gt;"",F30&lt;&gt;"",I30&lt;&gt;""),ABS(E30-F30)*I30,""),("))))</f>
        <v/>
      </c>
      <c r="K30" s="22" t="str">
        <f aca="false">IFERROR(IF(AND(E30&lt;&gt;"",H30&lt;&gt;"",I30&lt;&gt;""),IF(D30="Short",(E30-H30)*I30,(H30-E30)*I30),""),("))))</f>
        <v/>
      </c>
      <c r="L30" s="23" t="str">
        <f aca="false">IFERROR(IF(AND(E30&lt;&gt;"",H30&lt;&gt;""),IF(D30="Short",(E30-H30)/E30,(H30-E30)/E30),""),("))))</f>
        <v/>
      </c>
      <c r="M30" s="24" t="str">
        <f aca="false">IFERROR(IF(AND(K30&lt;&gt;"",J30&lt;&gt;"",J30&lt;&gt;0),K30/J30,""),("))))</f>
        <v/>
      </c>
      <c r="N30" s="25" t="str">
        <f aca="false">IFERROR(IF(K30="","",IF(K30&gt;0,"Win",IF(K30&lt;0,"Loss","BE"))),("))))</f>
        <v/>
      </c>
      <c r="O30" s="19"/>
      <c r="P30" s="19"/>
      <c r="Q30" s="19"/>
      <c r="R30" s="19"/>
      <c r="S30" s="26"/>
    </row>
    <row r="31" customFormat="false" ht="18" hidden="false" customHeight="true" outlineLevel="0" collapsed="false">
      <c r="A31" s="11"/>
      <c r="B31" s="11"/>
      <c r="C31" s="11"/>
      <c r="D31" s="11"/>
      <c r="E31" s="12"/>
      <c r="F31" s="12"/>
      <c r="G31" s="12"/>
      <c r="H31" s="12"/>
      <c r="I31" s="13"/>
      <c r="J31" s="14" t="str">
        <f aca="false">IFERROR(IF(AND(E31&lt;&gt;"",F31&lt;&gt;"",I31&lt;&gt;""),ABS(E31-F31)*I31,""),("))))</f>
        <v/>
      </c>
      <c r="K31" s="14" t="str">
        <f aca="false">IFERROR(IF(AND(E31&lt;&gt;"",H31&lt;&gt;"",I31&lt;&gt;""),IF(D31="Short",(E31-H31)*I31,(H31-E31)*I31),""),("))))</f>
        <v/>
      </c>
      <c r="L31" s="15" t="str">
        <f aca="false">IFERROR(IF(AND(E31&lt;&gt;"",H31&lt;&gt;""),IF(D31="Short",(E31-H31)/E31,(H31-E31)/E31),""),("))))</f>
        <v/>
      </c>
      <c r="M31" s="16" t="str">
        <f aca="false">IFERROR(IF(AND(K31&lt;&gt;"",J31&lt;&gt;"",J31&lt;&gt;0),K31/J31,""),("))))</f>
        <v/>
      </c>
      <c r="N31" s="17" t="str">
        <f aca="false">IFERROR(IF(K31="","",IF(K31&gt;0,"Win",IF(K31&lt;0,"Loss","BE"))),("))))</f>
        <v/>
      </c>
      <c r="O31" s="11"/>
      <c r="P31" s="11"/>
      <c r="Q31" s="11"/>
      <c r="R31" s="11"/>
      <c r="S31" s="18"/>
    </row>
    <row r="32" customFormat="false" ht="18" hidden="false" customHeight="true" outlineLevel="0" collapsed="false">
      <c r="A32" s="19"/>
      <c r="B32" s="19"/>
      <c r="C32" s="19"/>
      <c r="D32" s="19"/>
      <c r="E32" s="20"/>
      <c r="F32" s="20"/>
      <c r="G32" s="20"/>
      <c r="H32" s="20"/>
      <c r="I32" s="21"/>
      <c r="J32" s="22" t="str">
        <f aca="false">IFERROR(IF(AND(E32&lt;&gt;"",F32&lt;&gt;"",I32&lt;&gt;""),ABS(E32-F32)*I32,""),("))))</f>
        <v/>
      </c>
      <c r="K32" s="22" t="str">
        <f aca="false">IFERROR(IF(AND(E32&lt;&gt;"",H32&lt;&gt;"",I32&lt;&gt;""),IF(D32="Short",(E32-H32)*I32,(H32-E32)*I32),""),("))))</f>
        <v/>
      </c>
      <c r="L32" s="23" t="str">
        <f aca="false">IFERROR(IF(AND(E32&lt;&gt;"",H32&lt;&gt;""),IF(D32="Short",(E32-H32)/E32,(H32-E32)/E32),""),("))))</f>
        <v/>
      </c>
      <c r="M32" s="24" t="str">
        <f aca="false">IFERROR(IF(AND(K32&lt;&gt;"",J32&lt;&gt;"",J32&lt;&gt;0),K32/J32,""),("))))</f>
        <v/>
      </c>
      <c r="N32" s="25" t="str">
        <f aca="false">IFERROR(IF(K32="","",IF(K32&gt;0,"Win",IF(K32&lt;0,"Loss","BE"))),("))))</f>
        <v/>
      </c>
      <c r="O32" s="19"/>
      <c r="P32" s="19"/>
      <c r="Q32" s="19"/>
      <c r="R32" s="19"/>
      <c r="S32" s="26"/>
    </row>
    <row r="33" customFormat="false" ht="18" hidden="false" customHeight="true" outlineLevel="0" collapsed="false">
      <c r="A33" s="11"/>
      <c r="B33" s="11"/>
      <c r="C33" s="11"/>
      <c r="D33" s="11"/>
      <c r="E33" s="12"/>
      <c r="F33" s="12"/>
      <c r="G33" s="12"/>
      <c r="H33" s="12"/>
      <c r="I33" s="13"/>
      <c r="J33" s="14" t="str">
        <f aca="false">IFERROR(IF(AND(E33&lt;&gt;"",F33&lt;&gt;"",I33&lt;&gt;""),ABS(E33-F33)*I33,""),("))))</f>
        <v/>
      </c>
      <c r="K33" s="14" t="str">
        <f aca="false">IFERROR(IF(AND(E33&lt;&gt;"",H33&lt;&gt;"",I33&lt;&gt;""),IF(D33="Short",(E33-H33)*I33,(H33-E33)*I33),""),("))))</f>
        <v/>
      </c>
      <c r="L33" s="15" t="str">
        <f aca="false">IFERROR(IF(AND(E33&lt;&gt;"",H33&lt;&gt;""),IF(D33="Short",(E33-H33)/E33,(H33-E33)/E33),""),("))))</f>
        <v/>
      </c>
      <c r="M33" s="16" t="str">
        <f aca="false">IFERROR(IF(AND(K33&lt;&gt;"",J33&lt;&gt;"",J33&lt;&gt;0),K33/J33,""),("))))</f>
        <v/>
      </c>
      <c r="N33" s="17" t="str">
        <f aca="false">IFERROR(IF(K33="","",IF(K33&gt;0,"Win",IF(K33&lt;0,"Loss","BE"))),("))))</f>
        <v/>
      </c>
      <c r="O33" s="11"/>
      <c r="P33" s="11"/>
      <c r="Q33" s="11"/>
      <c r="R33" s="11"/>
      <c r="S33" s="18"/>
    </row>
    <row r="34" customFormat="false" ht="18" hidden="false" customHeight="true" outlineLevel="0" collapsed="false">
      <c r="A34" s="19"/>
      <c r="B34" s="19"/>
      <c r="C34" s="19"/>
      <c r="D34" s="19"/>
      <c r="E34" s="20"/>
      <c r="F34" s="20"/>
      <c r="G34" s="20"/>
      <c r="H34" s="20"/>
      <c r="I34" s="21"/>
      <c r="J34" s="22" t="str">
        <f aca="false">IFERROR(IF(AND(E34&lt;&gt;"",F34&lt;&gt;"",I34&lt;&gt;""),ABS(E34-F34)*I34,""),("))))</f>
        <v/>
      </c>
      <c r="K34" s="22" t="str">
        <f aca="false">IFERROR(IF(AND(E34&lt;&gt;"",H34&lt;&gt;"",I34&lt;&gt;""),IF(D34="Short",(E34-H34)*I34,(H34-E34)*I34),""),("))))</f>
        <v/>
      </c>
      <c r="L34" s="23" t="str">
        <f aca="false">IFERROR(IF(AND(E34&lt;&gt;"",H34&lt;&gt;""),IF(D34="Short",(E34-H34)/E34,(H34-E34)/E34),""),("))))</f>
        <v/>
      </c>
      <c r="M34" s="24" t="str">
        <f aca="false">IFERROR(IF(AND(K34&lt;&gt;"",J34&lt;&gt;"",J34&lt;&gt;0),K34/J34,""),("))))</f>
        <v/>
      </c>
      <c r="N34" s="25" t="str">
        <f aca="false">IFERROR(IF(K34="","",IF(K34&gt;0,"Win",IF(K34&lt;0,"Loss","BE"))),("))))</f>
        <v/>
      </c>
      <c r="O34" s="19"/>
      <c r="P34" s="19"/>
      <c r="Q34" s="19"/>
      <c r="R34" s="19"/>
      <c r="S34" s="26"/>
    </row>
    <row r="35" customFormat="false" ht="18" hidden="false" customHeight="true" outlineLevel="0" collapsed="false">
      <c r="A35" s="11"/>
      <c r="B35" s="11"/>
      <c r="C35" s="11"/>
      <c r="D35" s="11"/>
      <c r="E35" s="12"/>
      <c r="F35" s="12"/>
      <c r="G35" s="12"/>
      <c r="H35" s="12"/>
      <c r="I35" s="13"/>
      <c r="J35" s="14" t="str">
        <f aca="false">IFERROR(IF(AND(E35&lt;&gt;"",F35&lt;&gt;"",I35&lt;&gt;""),ABS(E35-F35)*I35,""),("))))</f>
        <v/>
      </c>
      <c r="K35" s="14" t="str">
        <f aca="false">IFERROR(IF(AND(E35&lt;&gt;"",H35&lt;&gt;"",I35&lt;&gt;""),IF(D35="Short",(E35-H35)*I35,(H35-E35)*I35),""),("))))</f>
        <v/>
      </c>
      <c r="L35" s="15" t="str">
        <f aca="false">IFERROR(IF(AND(E35&lt;&gt;"",H35&lt;&gt;""),IF(D35="Short",(E35-H35)/E35,(H35-E35)/E35),""),("))))</f>
        <v/>
      </c>
      <c r="M35" s="16" t="str">
        <f aca="false">IFERROR(IF(AND(K35&lt;&gt;"",J35&lt;&gt;"",J35&lt;&gt;0),K35/J35,""),("))))</f>
        <v/>
      </c>
      <c r="N35" s="17" t="str">
        <f aca="false">IFERROR(IF(K35="","",IF(K35&gt;0,"Win",IF(K35&lt;0,"Loss","BE"))),("))))</f>
        <v/>
      </c>
      <c r="O35" s="11"/>
      <c r="P35" s="11"/>
      <c r="Q35" s="11"/>
      <c r="R35" s="11"/>
      <c r="S35" s="18"/>
    </row>
    <row r="36" customFormat="false" ht="18" hidden="false" customHeight="true" outlineLevel="0" collapsed="false">
      <c r="A36" s="19"/>
      <c r="B36" s="19"/>
      <c r="C36" s="19"/>
      <c r="D36" s="19"/>
      <c r="E36" s="20"/>
      <c r="F36" s="20"/>
      <c r="G36" s="20"/>
      <c r="H36" s="20"/>
      <c r="I36" s="21"/>
      <c r="J36" s="22" t="str">
        <f aca="false">IFERROR(IF(AND(E36&lt;&gt;"",F36&lt;&gt;"",I36&lt;&gt;""),ABS(E36-F36)*I36,""),("))))</f>
        <v/>
      </c>
      <c r="K36" s="22" t="str">
        <f aca="false">IFERROR(IF(AND(E36&lt;&gt;"",H36&lt;&gt;"",I36&lt;&gt;""),IF(D36="Short",(E36-H36)*I36,(H36-E36)*I36),""),("))))</f>
        <v/>
      </c>
      <c r="L36" s="23" t="str">
        <f aca="false">IFERROR(IF(AND(E36&lt;&gt;"",H36&lt;&gt;""),IF(D36="Short",(E36-H36)/E36,(H36-E36)/E36),""),("))))</f>
        <v/>
      </c>
      <c r="M36" s="24" t="str">
        <f aca="false">IFERROR(IF(AND(K36&lt;&gt;"",J36&lt;&gt;"",J36&lt;&gt;0),K36/J36,""),("))))</f>
        <v/>
      </c>
      <c r="N36" s="25" t="str">
        <f aca="false">IFERROR(IF(K36="","",IF(K36&gt;0,"Win",IF(K36&lt;0,"Loss","BE"))),("))))</f>
        <v/>
      </c>
      <c r="O36" s="19"/>
      <c r="P36" s="19"/>
      <c r="Q36" s="19"/>
      <c r="R36" s="19"/>
      <c r="S36" s="26"/>
    </row>
    <row r="37" customFormat="false" ht="18" hidden="false" customHeight="true" outlineLevel="0" collapsed="false">
      <c r="A37" s="11"/>
      <c r="B37" s="11"/>
      <c r="C37" s="11"/>
      <c r="D37" s="11"/>
      <c r="E37" s="12"/>
      <c r="F37" s="12"/>
      <c r="G37" s="12"/>
      <c r="H37" s="12"/>
      <c r="I37" s="13"/>
      <c r="J37" s="14" t="str">
        <f aca="false">IFERROR(IF(AND(E37&lt;&gt;"",F37&lt;&gt;"",I37&lt;&gt;""),ABS(E37-F37)*I37,""),("))))</f>
        <v/>
      </c>
      <c r="K37" s="14" t="str">
        <f aca="false">IFERROR(IF(AND(E37&lt;&gt;"",H37&lt;&gt;"",I37&lt;&gt;""),IF(D37="Short",(E37-H37)*I37,(H37-E37)*I37),""),("))))</f>
        <v/>
      </c>
      <c r="L37" s="15" t="str">
        <f aca="false">IFERROR(IF(AND(E37&lt;&gt;"",H37&lt;&gt;""),IF(D37="Short",(E37-H37)/E37,(H37-E37)/E37),""),("))))</f>
        <v/>
      </c>
      <c r="M37" s="16" t="str">
        <f aca="false">IFERROR(IF(AND(K37&lt;&gt;"",J37&lt;&gt;"",J37&lt;&gt;0),K37/J37,""),("))))</f>
        <v/>
      </c>
      <c r="N37" s="17" t="str">
        <f aca="false">IFERROR(IF(K37="","",IF(K37&gt;0,"Win",IF(K37&lt;0,"Loss","BE"))),("))))</f>
        <v/>
      </c>
      <c r="O37" s="11"/>
      <c r="P37" s="11"/>
      <c r="Q37" s="11"/>
      <c r="R37" s="11"/>
      <c r="S37" s="18"/>
    </row>
    <row r="38" customFormat="false" ht="18" hidden="false" customHeight="true" outlineLevel="0" collapsed="false">
      <c r="A38" s="19"/>
      <c r="B38" s="19"/>
      <c r="C38" s="19"/>
      <c r="D38" s="19"/>
      <c r="E38" s="20"/>
      <c r="F38" s="20"/>
      <c r="G38" s="20"/>
      <c r="H38" s="20"/>
      <c r="I38" s="21"/>
      <c r="J38" s="22" t="str">
        <f aca="false">IFERROR(IF(AND(E38&lt;&gt;"",F38&lt;&gt;"",I38&lt;&gt;""),ABS(E38-F38)*I38,""),("))))</f>
        <v/>
      </c>
      <c r="K38" s="22" t="str">
        <f aca="false">IFERROR(IF(AND(E38&lt;&gt;"",H38&lt;&gt;"",I38&lt;&gt;""),IF(D38="Short",(E38-H38)*I38,(H38-E38)*I38),""),("))))</f>
        <v/>
      </c>
      <c r="L38" s="23" t="str">
        <f aca="false">IFERROR(IF(AND(E38&lt;&gt;"",H38&lt;&gt;""),IF(D38="Short",(E38-H38)/E38,(H38-E38)/E38),""),("))))</f>
        <v/>
      </c>
      <c r="M38" s="24" t="str">
        <f aca="false">IFERROR(IF(AND(K38&lt;&gt;"",J38&lt;&gt;"",J38&lt;&gt;0),K38/J38,""),("))))</f>
        <v/>
      </c>
      <c r="N38" s="25" t="str">
        <f aca="false">IFERROR(IF(K38="","",IF(K38&gt;0,"Win",IF(K38&lt;0,"Loss","BE"))),("))))</f>
        <v/>
      </c>
      <c r="O38" s="19"/>
      <c r="P38" s="19"/>
      <c r="Q38" s="19"/>
      <c r="R38" s="19"/>
      <c r="S38" s="26"/>
    </row>
    <row r="39" customFormat="false" ht="18" hidden="false" customHeight="true" outlineLevel="0" collapsed="false">
      <c r="A39" s="11"/>
      <c r="B39" s="11"/>
      <c r="C39" s="11"/>
      <c r="D39" s="11"/>
      <c r="E39" s="12"/>
      <c r="F39" s="12"/>
      <c r="G39" s="12"/>
      <c r="H39" s="12"/>
      <c r="I39" s="13"/>
      <c r="J39" s="14" t="str">
        <f aca="false">IFERROR(IF(AND(E39&lt;&gt;"",F39&lt;&gt;"",I39&lt;&gt;""),ABS(E39-F39)*I39,""),("))))</f>
        <v/>
      </c>
      <c r="K39" s="14" t="str">
        <f aca="false">IFERROR(IF(AND(E39&lt;&gt;"",H39&lt;&gt;"",I39&lt;&gt;""),IF(D39="Short",(E39-H39)*I39,(H39-E39)*I39),""),("))))</f>
        <v/>
      </c>
      <c r="L39" s="15" t="str">
        <f aca="false">IFERROR(IF(AND(E39&lt;&gt;"",H39&lt;&gt;""),IF(D39="Short",(E39-H39)/E39,(H39-E39)/E39),""),("))))</f>
        <v/>
      </c>
      <c r="M39" s="16" t="str">
        <f aca="false">IFERROR(IF(AND(K39&lt;&gt;"",J39&lt;&gt;"",J39&lt;&gt;0),K39/J39,""),("))))</f>
        <v/>
      </c>
      <c r="N39" s="17" t="str">
        <f aca="false">IFERROR(IF(K39="","",IF(K39&gt;0,"Win",IF(K39&lt;0,"Loss","BE"))),("))))</f>
        <v/>
      </c>
      <c r="O39" s="11"/>
      <c r="P39" s="11"/>
      <c r="Q39" s="11"/>
      <c r="R39" s="11"/>
      <c r="S39" s="18"/>
    </row>
    <row r="40" customFormat="false" ht="18" hidden="false" customHeight="true" outlineLevel="0" collapsed="false">
      <c r="A40" s="19"/>
      <c r="B40" s="19"/>
      <c r="C40" s="19"/>
      <c r="D40" s="19"/>
      <c r="E40" s="20"/>
      <c r="F40" s="20"/>
      <c r="G40" s="20"/>
      <c r="H40" s="20"/>
      <c r="I40" s="21"/>
      <c r="J40" s="22" t="str">
        <f aca="false">IFERROR(IF(AND(E40&lt;&gt;"",F40&lt;&gt;"",I40&lt;&gt;""),ABS(E40-F40)*I40,""),("))))</f>
        <v/>
      </c>
      <c r="K40" s="22" t="str">
        <f aca="false">IFERROR(IF(AND(E40&lt;&gt;"",H40&lt;&gt;"",I40&lt;&gt;""),IF(D40="Short",(E40-H40)*I40,(H40-E40)*I40),""),("))))</f>
        <v/>
      </c>
      <c r="L40" s="23" t="str">
        <f aca="false">IFERROR(IF(AND(E40&lt;&gt;"",H40&lt;&gt;""),IF(D40="Short",(E40-H40)/E40,(H40-E40)/E40),""),("))))</f>
        <v/>
      </c>
      <c r="M40" s="24" t="str">
        <f aca="false">IFERROR(IF(AND(K40&lt;&gt;"",J40&lt;&gt;"",J40&lt;&gt;0),K40/J40,""),("))))</f>
        <v/>
      </c>
      <c r="N40" s="25" t="str">
        <f aca="false">IFERROR(IF(K40="","",IF(K40&gt;0,"Win",IF(K40&lt;0,"Loss","BE"))),("))))</f>
        <v/>
      </c>
      <c r="O40" s="19"/>
      <c r="P40" s="19"/>
      <c r="Q40" s="19"/>
      <c r="R40" s="19"/>
      <c r="S40" s="26"/>
    </row>
    <row r="41" customFormat="false" ht="18" hidden="false" customHeight="true" outlineLevel="0" collapsed="false">
      <c r="A41" s="11"/>
      <c r="B41" s="11"/>
      <c r="C41" s="11"/>
      <c r="D41" s="11"/>
      <c r="E41" s="12"/>
      <c r="F41" s="12"/>
      <c r="G41" s="12"/>
      <c r="H41" s="12"/>
      <c r="I41" s="13"/>
      <c r="J41" s="14" t="str">
        <f aca="false">IFERROR(IF(AND(E41&lt;&gt;"",F41&lt;&gt;"",I41&lt;&gt;""),ABS(E41-F41)*I41,""),("))))</f>
        <v/>
      </c>
      <c r="K41" s="14" t="str">
        <f aca="false">IFERROR(IF(AND(E41&lt;&gt;"",H41&lt;&gt;"",I41&lt;&gt;""),IF(D41="Short",(E41-H41)*I41,(H41-E41)*I41),""),("))))</f>
        <v/>
      </c>
      <c r="L41" s="15" t="str">
        <f aca="false">IFERROR(IF(AND(E41&lt;&gt;"",H41&lt;&gt;""),IF(D41="Short",(E41-H41)/E41,(H41-E41)/E41),""),("))))</f>
        <v/>
      </c>
      <c r="M41" s="16" t="str">
        <f aca="false">IFERROR(IF(AND(K41&lt;&gt;"",J41&lt;&gt;"",J41&lt;&gt;0),K41/J41,""),("))))</f>
        <v/>
      </c>
      <c r="N41" s="17" t="str">
        <f aca="false">IFERROR(IF(K41="","",IF(K41&gt;0,"Win",IF(K41&lt;0,"Loss","BE"))),("))))</f>
        <v/>
      </c>
      <c r="O41" s="11"/>
      <c r="P41" s="11"/>
      <c r="Q41" s="11"/>
      <c r="R41" s="11"/>
      <c r="S41" s="18"/>
    </row>
    <row r="42" customFormat="false" ht="18" hidden="false" customHeight="true" outlineLevel="0" collapsed="false">
      <c r="A42" s="19"/>
      <c r="B42" s="19"/>
      <c r="C42" s="19"/>
      <c r="D42" s="19"/>
      <c r="E42" s="20"/>
      <c r="F42" s="20"/>
      <c r="G42" s="20"/>
      <c r="H42" s="20"/>
      <c r="I42" s="21"/>
      <c r="J42" s="22" t="str">
        <f aca="false">IFERROR(IF(AND(E42&lt;&gt;"",F42&lt;&gt;"",I42&lt;&gt;""),ABS(E42-F42)*I42,""),("))))</f>
        <v/>
      </c>
      <c r="K42" s="22" t="str">
        <f aca="false">IFERROR(IF(AND(E42&lt;&gt;"",H42&lt;&gt;"",I42&lt;&gt;""),IF(D42="Short",(E42-H42)*I42,(H42-E42)*I42),""),("))))</f>
        <v/>
      </c>
      <c r="L42" s="23" t="str">
        <f aca="false">IFERROR(IF(AND(E42&lt;&gt;"",H42&lt;&gt;""),IF(D42="Short",(E42-H42)/E42,(H42-E42)/E42),""),("))))</f>
        <v/>
      </c>
      <c r="M42" s="24" t="str">
        <f aca="false">IFERROR(IF(AND(K42&lt;&gt;"",J42&lt;&gt;"",J42&lt;&gt;0),K42/J42,""),("))))</f>
        <v/>
      </c>
      <c r="N42" s="25" t="str">
        <f aca="false">IFERROR(IF(K42="","",IF(K42&gt;0,"Win",IF(K42&lt;0,"Loss","BE"))),("))))</f>
        <v/>
      </c>
      <c r="O42" s="19"/>
      <c r="P42" s="19"/>
      <c r="Q42" s="19"/>
      <c r="R42" s="19"/>
      <c r="S42" s="26"/>
    </row>
    <row r="43" customFormat="false" ht="18" hidden="false" customHeight="true" outlineLevel="0" collapsed="false">
      <c r="A43" s="11"/>
      <c r="B43" s="11"/>
      <c r="C43" s="11"/>
      <c r="D43" s="11"/>
      <c r="E43" s="12"/>
      <c r="F43" s="12"/>
      <c r="G43" s="12"/>
      <c r="H43" s="12"/>
      <c r="I43" s="13"/>
      <c r="J43" s="14" t="str">
        <f aca="false">IFERROR(IF(AND(E43&lt;&gt;"",F43&lt;&gt;"",I43&lt;&gt;""),ABS(E43-F43)*I43,""),("))))</f>
        <v/>
      </c>
      <c r="K43" s="14" t="str">
        <f aca="false">IFERROR(IF(AND(E43&lt;&gt;"",H43&lt;&gt;"",I43&lt;&gt;""),IF(D43="Short",(E43-H43)*I43,(H43-E43)*I43),""),("))))</f>
        <v/>
      </c>
      <c r="L43" s="15" t="str">
        <f aca="false">IFERROR(IF(AND(E43&lt;&gt;"",H43&lt;&gt;""),IF(D43="Short",(E43-H43)/E43,(H43-E43)/E43),""),("))))</f>
        <v/>
      </c>
      <c r="M43" s="16" t="str">
        <f aca="false">IFERROR(IF(AND(K43&lt;&gt;"",J43&lt;&gt;"",J43&lt;&gt;0),K43/J43,""),("))))</f>
        <v/>
      </c>
      <c r="N43" s="17" t="str">
        <f aca="false">IFERROR(IF(K43="","",IF(K43&gt;0,"Win",IF(K43&lt;0,"Loss","BE"))),("))))</f>
        <v/>
      </c>
      <c r="O43" s="11"/>
      <c r="P43" s="11"/>
      <c r="Q43" s="11"/>
      <c r="R43" s="11"/>
      <c r="S43" s="18"/>
    </row>
    <row r="44" customFormat="false" ht="18" hidden="false" customHeight="true" outlineLevel="0" collapsed="false">
      <c r="A44" s="19"/>
      <c r="B44" s="19"/>
      <c r="C44" s="19"/>
      <c r="D44" s="19"/>
      <c r="E44" s="20"/>
      <c r="F44" s="20"/>
      <c r="G44" s="20"/>
      <c r="H44" s="20"/>
      <c r="I44" s="21"/>
      <c r="J44" s="22" t="str">
        <f aca="false">IFERROR(IF(AND(E44&lt;&gt;"",F44&lt;&gt;"",I44&lt;&gt;""),ABS(E44-F44)*I44,""),("))))</f>
        <v/>
      </c>
      <c r="K44" s="22" t="str">
        <f aca="false">IFERROR(IF(AND(E44&lt;&gt;"",H44&lt;&gt;"",I44&lt;&gt;""),IF(D44="Short",(E44-H44)*I44,(H44-E44)*I44),""),("))))</f>
        <v/>
      </c>
      <c r="L44" s="23" t="str">
        <f aca="false">IFERROR(IF(AND(E44&lt;&gt;"",H44&lt;&gt;""),IF(D44="Short",(E44-H44)/E44,(H44-E44)/E44),""),("))))</f>
        <v/>
      </c>
      <c r="M44" s="24" t="str">
        <f aca="false">IFERROR(IF(AND(K44&lt;&gt;"",J44&lt;&gt;"",J44&lt;&gt;0),K44/J44,""),("))))</f>
        <v/>
      </c>
      <c r="N44" s="25" t="str">
        <f aca="false">IFERROR(IF(K44="","",IF(K44&gt;0,"Win",IF(K44&lt;0,"Loss","BE"))),("))))</f>
        <v/>
      </c>
      <c r="O44" s="19"/>
      <c r="P44" s="19"/>
      <c r="Q44" s="19"/>
      <c r="R44" s="19"/>
      <c r="S44" s="26"/>
    </row>
    <row r="45" customFormat="false" ht="18" hidden="false" customHeight="true" outlineLevel="0" collapsed="false">
      <c r="A45" s="11"/>
      <c r="B45" s="11"/>
      <c r="C45" s="11"/>
      <c r="D45" s="11"/>
      <c r="E45" s="12"/>
      <c r="F45" s="12"/>
      <c r="G45" s="12"/>
      <c r="H45" s="12"/>
      <c r="I45" s="13"/>
      <c r="J45" s="14" t="str">
        <f aca="false">IFERROR(IF(AND(E45&lt;&gt;"",F45&lt;&gt;"",I45&lt;&gt;""),ABS(E45-F45)*I45,""),("))))</f>
        <v/>
      </c>
      <c r="K45" s="14" t="str">
        <f aca="false">IFERROR(IF(AND(E45&lt;&gt;"",H45&lt;&gt;"",I45&lt;&gt;""),IF(D45="Short",(E45-H45)*I45,(H45-E45)*I45),""),("))))</f>
        <v/>
      </c>
      <c r="L45" s="15" t="str">
        <f aca="false">IFERROR(IF(AND(E45&lt;&gt;"",H45&lt;&gt;""),IF(D45="Short",(E45-H45)/E45,(H45-E45)/E45),""),("))))</f>
        <v/>
      </c>
      <c r="M45" s="16" t="str">
        <f aca="false">IFERROR(IF(AND(K45&lt;&gt;"",J45&lt;&gt;"",J45&lt;&gt;0),K45/J45,""),("))))</f>
        <v/>
      </c>
      <c r="N45" s="17" t="str">
        <f aca="false">IFERROR(IF(K45="","",IF(K45&gt;0,"Win",IF(K45&lt;0,"Loss","BE"))),("))))</f>
        <v/>
      </c>
      <c r="O45" s="11"/>
      <c r="P45" s="11"/>
      <c r="Q45" s="11"/>
      <c r="R45" s="11"/>
      <c r="S45" s="18"/>
    </row>
    <row r="46" customFormat="false" ht="18" hidden="false" customHeight="true" outlineLevel="0" collapsed="false">
      <c r="A46" s="19"/>
      <c r="B46" s="19"/>
      <c r="C46" s="19"/>
      <c r="D46" s="19"/>
      <c r="E46" s="20"/>
      <c r="F46" s="20"/>
      <c r="G46" s="20"/>
      <c r="H46" s="20"/>
      <c r="I46" s="21"/>
      <c r="J46" s="22" t="str">
        <f aca="false">IFERROR(IF(AND(E46&lt;&gt;"",F46&lt;&gt;"",I46&lt;&gt;""),ABS(E46-F46)*I46,""),("))))</f>
        <v/>
      </c>
      <c r="K46" s="22" t="str">
        <f aca="false">IFERROR(IF(AND(E46&lt;&gt;"",H46&lt;&gt;"",I46&lt;&gt;""),IF(D46="Short",(E46-H46)*I46,(H46-E46)*I46),""),("))))</f>
        <v/>
      </c>
      <c r="L46" s="23" t="str">
        <f aca="false">IFERROR(IF(AND(E46&lt;&gt;"",H46&lt;&gt;""),IF(D46="Short",(E46-H46)/E46,(H46-E46)/E46),""),("))))</f>
        <v/>
      </c>
      <c r="M46" s="24" t="str">
        <f aca="false">IFERROR(IF(AND(K46&lt;&gt;"",J46&lt;&gt;"",J46&lt;&gt;0),K46/J46,""),("))))</f>
        <v/>
      </c>
      <c r="N46" s="25" t="str">
        <f aca="false">IFERROR(IF(K46="","",IF(K46&gt;0,"Win",IF(K46&lt;0,"Loss","BE"))),("))))</f>
        <v/>
      </c>
      <c r="O46" s="19"/>
      <c r="P46" s="19"/>
      <c r="Q46" s="19"/>
      <c r="R46" s="19"/>
      <c r="S46" s="26"/>
    </row>
    <row r="47" customFormat="false" ht="18" hidden="false" customHeight="true" outlineLevel="0" collapsed="false">
      <c r="A47" s="11"/>
      <c r="B47" s="11"/>
      <c r="C47" s="11"/>
      <c r="D47" s="11"/>
      <c r="E47" s="12"/>
      <c r="F47" s="12"/>
      <c r="G47" s="12"/>
      <c r="H47" s="12"/>
      <c r="I47" s="13"/>
      <c r="J47" s="14" t="str">
        <f aca="false">IFERROR(IF(AND(E47&lt;&gt;"",F47&lt;&gt;"",I47&lt;&gt;""),ABS(E47-F47)*I47,""),("))))</f>
        <v/>
      </c>
      <c r="K47" s="14" t="str">
        <f aca="false">IFERROR(IF(AND(E47&lt;&gt;"",H47&lt;&gt;"",I47&lt;&gt;""),IF(D47="Short",(E47-H47)*I47,(H47-E47)*I47),""),("))))</f>
        <v/>
      </c>
      <c r="L47" s="15" t="str">
        <f aca="false">IFERROR(IF(AND(E47&lt;&gt;"",H47&lt;&gt;""),IF(D47="Short",(E47-H47)/E47,(H47-E47)/E47),""),("))))</f>
        <v/>
      </c>
      <c r="M47" s="16" t="str">
        <f aca="false">IFERROR(IF(AND(K47&lt;&gt;"",J47&lt;&gt;"",J47&lt;&gt;0),K47/J47,""),("))))</f>
        <v/>
      </c>
      <c r="N47" s="17" t="str">
        <f aca="false">IFERROR(IF(K47="","",IF(K47&gt;0,"Win",IF(K47&lt;0,"Loss","BE"))),("))))</f>
        <v/>
      </c>
      <c r="O47" s="11"/>
      <c r="P47" s="11"/>
      <c r="Q47" s="11"/>
      <c r="R47" s="11"/>
      <c r="S47" s="18"/>
    </row>
    <row r="48" customFormat="false" ht="18" hidden="false" customHeight="true" outlineLevel="0" collapsed="false">
      <c r="A48" s="19"/>
      <c r="B48" s="19"/>
      <c r="C48" s="19"/>
      <c r="D48" s="19"/>
      <c r="E48" s="20"/>
      <c r="F48" s="20"/>
      <c r="G48" s="20"/>
      <c r="H48" s="20"/>
      <c r="I48" s="21"/>
      <c r="J48" s="22" t="str">
        <f aca="false">IFERROR(IF(AND(E48&lt;&gt;"",F48&lt;&gt;"",I48&lt;&gt;""),ABS(E48-F48)*I48,""),("))))</f>
        <v/>
      </c>
      <c r="K48" s="22" t="str">
        <f aca="false">IFERROR(IF(AND(E48&lt;&gt;"",H48&lt;&gt;"",I48&lt;&gt;""),IF(D48="Short",(E48-H48)*I48,(H48-E48)*I48),""),("))))</f>
        <v/>
      </c>
      <c r="L48" s="23" t="str">
        <f aca="false">IFERROR(IF(AND(E48&lt;&gt;"",H48&lt;&gt;""),IF(D48="Short",(E48-H48)/E48,(H48-E48)/E48),""),("))))</f>
        <v/>
      </c>
      <c r="M48" s="24" t="str">
        <f aca="false">IFERROR(IF(AND(K48&lt;&gt;"",J48&lt;&gt;"",J48&lt;&gt;0),K48/J48,""),("))))</f>
        <v/>
      </c>
      <c r="N48" s="25" t="str">
        <f aca="false">IFERROR(IF(K48="","",IF(K48&gt;0,"Win",IF(K48&lt;0,"Loss","BE"))),("))))</f>
        <v/>
      </c>
      <c r="O48" s="19"/>
      <c r="P48" s="19"/>
      <c r="Q48" s="19"/>
      <c r="R48" s="19"/>
      <c r="S48" s="26"/>
    </row>
    <row r="49" customFormat="false" ht="18" hidden="false" customHeight="true" outlineLevel="0" collapsed="false">
      <c r="A49" s="11"/>
      <c r="B49" s="11"/>
      <c r="C49" s="11"/>
      <c r="D49" s="11"/>
      <c r="E49" s="12"/>
      <c r="F49" s="12"/>
      <c r="G49" s="12"/>
      <c r="H49" s="12"/>
      <c r="I49" s="13"/>
      <c r="J49" s="14" t="str">
        <f aca="false">IFERROR(IF(AND(E49&lt;&gt;"",F49&lt;&gt;"",I49&lt;&gt;""),ABS(E49-F49)*I49,""),("))))</f>
        <v/>
      </c>
      <c r="K49" s="14" t="str">
        <f aca="false">IFERROR(IF(AND(E49&lt;&gt;"",H49&lt;&gt;"",I49&lt;&gt;""),IF(D49="Short",(E49-H49)*I49,(H49-E49)*I49),""),("))))</f>
        <v/>
      </c>
      <c r="L49" s="15" t="str">
        <f aca="false">IFERROR(IF(AND(E49&lt;&gt;"",H49&lt;&gt;""),IF(D49="Short",(E49-H49)/E49,(H49-E49)/E49),""),("))))</f>
        <v/>
      </c>
      <c r="M49" s="16" t="str">
        <f aca="false">IFERROR(IF(AND(K49&lt;&gt;"",J49&lt;&gt;"",J49&lt;&gt;0),K49/J49,""),("))))</f>
        <v/>
      </c>
      <c r="N49" s="17" t="str">
        <f aca="false">IFERROR(IF(K49="","",IF(K49&gt;0,"Win",IF(K49&lt;0,"Loss","BE"))),("))))</f>
        <v/>
      </c>
      <c r="O49" s="11"/>
      <c r="P49" s="11"/>
      <c r="Q49" s="11"/>
      <c r="R49" s="11"/>
      <c r="S49" s="18"/>
    </row>
    <row r="50" customFormat="false" ht="18" hidden="false" customHeight="true" outlineLevel="0" collapsed="false">
      <c r="A50" s="19"/>
      <c r="B50" s="19"/>
      <c r="C50" s="19"/>
      <c r="D50" s="19"/>
      <c r="E50" s="20"/>
      <c r="F50" s="20"/>
      <c r="G50" s="20"/>
      <c r="H50" s="20"/>
      <c r="I50" s="21"/>
      <c r="J50" s="22" t="str">
        <f aca="false">IFERROR(IF(AND(E50&lt;&gt;"",F50&lt;&gt;"",I50&lt;&gt;""),ABS(E50-F50)*I50,""),("))))</f>
        <v/>
      </c>
      <c r="K50" s="22" t="str">
        <f aca="false">IFERROR(IF(AND(E50&lt;&gt;"",H50&lt;&gt;"",I50&lt;&gt;""),IF(D50="Short",(E50-H50)*I50,(H50-E50)*I50),""),("))))</f>
        <v/>
      </c>
      <c r="L50" s="23" t="str">
        <f aca="false">IFERROR(IF(AND(E50&lt;&gt;"",H50&lt;&gt;""),IF(D50="Short",(E50-H50)/E50,(H50-E50)/E50),""),("))))</f>
        <v/>
      </c>
      <c r="M50" s="24" t="str">
        <f aca="false">IFERROR(IF(AND(K50&lt;&gt;"",J50&lt;&gt;"",J50&lt;&gt;0),K50/J50,""),("))))</f>
        <v/>
      </c>
      <c r="N50" s="25" t="str">
        <f aca="false">IFERROR(IF(K50="","",IF(K50&gt;0,"Win",IF(K50&lt;0,"Loss","BE"))),("))))</f>
        <v/>
      </c>
      <c r="O50" s="19"/>
      <c r="P50" s="19"/>
      <c r="Q50" s="19"/>
      <c r="R50" s="19"/>
      <c r="S50" s="26"/>
    </row>
    <row r="51" customFormat="false" ht="18" hidden="false" customHeight="true" outlineLevel="0" collapsed="false">
      <c r="A51" s="11"/>
      <c r="B51" s="11"/>
      <c r="C51" s="11"/>
      <c r="D51" s="11"/>
      <c r="E51" s="12"/>
      <c r="F51" s="12"/>
      <c r="G51" s="12"/>
      <c r="H51" s="12"/>
      <c r="I51" s="13"/>
      <c r="J51" s="14" t="str">
        <f aca="false">IFERROR(IF(AND(E51&lt;&gt;"",F51&lt;&gt;"",I51&lt;&gt;""),ABS(E51-F51)*I51,""),("))))</f>
        <v/>
      </c>
      <c r="K51" s="14" t="str">
        <f aca="false">IFERROR(IF(AND(E51&lt;&gt;"",H51&lt;&gt;"",I51&lt;&gt;""),IF(D51="Short",(E51-H51)*I51,(H51-E51)*I51),""),("))))</f>
        <v/>
      </c>
      <c r="L51" s="15" t="str">
        <f aca="false">IFERROR(IF(AND(E51&lt;&gt;"",H51&lt;&gt;""),IF(D51="Short",(E51-H51)/E51,(H51-E51)/E51),""),("))))</f>
        <v/>
      </c>
      <c r="M51" s="16" t="str">
        <f aca="false">IFERROR(IF(AND(K51&lt;&gt;"",J51&lt;&gt;"",J51&lt;&gt;0),K51/J51,""),("))))</f>
        <v/>
      </c>
      <c r="N51" s="17" t="str">
        <f aca="false">IFERROR(IF(K51="","",IF(K51&gt;0,"Win",IF(K51&lt;0,"Loss","BE"))),("))))</f>
        <v/>
      </c>
      <c r="O51" s="11"/>
      <c r="P51" s="11"/>
      <c r="Q51" s="11"/>
      <c r="R51" s="11"/>
      <c r="S51" s="18"/>
    </row>
    <row r="52" customFormat="false" ht="18" hidden="false" customHeight="true" outlineLevel="0" collapsed="false">
      <c r="A52" s="19"/>
      <c r="B52" s="19"/>
      <c r="C52" s="19"/>
      <c r="D52" s="19"/>
      <c r="E52" s="20"/>
      <c r="F52" s="20"/>
      <c r="G52" s="20"/>
      <c r="H52" s="20"/>
      <c r="I52" s="21"/>
      <c r="J52" s="22" t="str">
        <f aca="false">IFERROR(IF(AND(E52&lt;&gt;"",F52&lt;&gt;"",I52&lt;&gt;""),ABS(E52-F52)*I52,""),("))))</f>
        <v/>
      </c>
      <c r="K52" s="22" t="str">
        <f aca="false">IFERROR(IF(AND(E52&lt;&gt;"",H52&lt;&gt;"",I52&lt;&gt;""),IF(D52="Short",(E52-H52)*I52,(H52-E52)*I52),""),("))))</f>
        <v/>
      </c>
      <c r="L52" s="23" t="str">
        <f aca="false">IFERROR(IF(AND(E52&lt;&gt;"",H52&lt;&gt;""),IF(D52="Short",(E52-H52)/E52,(H52-E52)/E52),""),("))))</f>
        <v/>
      </c>
      <c r="M52" s="24" t="str">
        <f aca="false">IFERROR(IF(AND(K52&lt;&gt;"",J52&lt;&gt;"",J52&lt;&gt;0),K52/J52,""),("))))</f>
        <v/>
      </c>
      <c r="N52" s="25" t="str">
        <f aca="false">IFERROR(IF(K52="","",IF(K52&gt;0,"Win",IF(K52&lt;0,"Loss","BE"))),("))))</f>
        <v/>
      </c>
      <c r="O52" s="19"/>
      <c r="P52" s="19"/>
      <c r="Q52" s="19"/>
      <c r="R52" s="19"/>
      <c r="S52" s="26"/>
    </row>
    <row r="53" customFormat="false" ht="18" hidden="false" customHeight="true" outlineLevel="0" collapsed="false">
      <c r="A53" s="11"/>
      <c r="B53" s="11"/>
      <c r="C53" s="11"/>
      <c r="D53" s="11"/>
      <c r="E53" s="12"/>
      <c r="F53" s="12"/>
      <c r="G53" s="12"/>
      <c r="H53" s="12"/>
      <c r="I53" s="13"/>
      <c r="J53" s="14" t="str">
        <f aca="false">IFERROR(IF(AND(E53&lt;&gt;"",F53&lt;&gt;"",I53&lt;&gt;""),ABS(E53-F53)*I53,""),("))))</f>
        <v/>
      </c>
      <c r="K53" s="14" t="str">
        <f aca="false">IFERROR(IF(AND(E53&lt;&gt;"",H53&lt;&gt;"",I53&lt;&gt;""),IF(D53="Short",(E53-H53)*I53,(H53-E53)*I53),""),("))))</f>
        <v/>
      </c>
      <c r="L53" s="15" t="str">
        <f aca="false">IFERROR(IF(AND(E53&lt;&gt;"",H53&lt;&gt;""),IF(D53="Short",(E53-H53)/E53,(H53-E53)/E53),""),("))))</f>
        <v/>
      </c>
      <c r="M53" s="16" t="str">
        <f aca="false">IFERROR(IF(AND(K53&lt;&gt;"",J53&lt;&gt;"",J53&lt;&gt;0),K53/J53,""),("))))</f>
        <v/>
      </c>
      <c r="N53" s="17" t="str">
        <f aca="false">IFERROR(IF(K53="","",IF(K53&gt;0,"Win",IF(K53&lt;0,"Loss","BE"))),("))))</f>
        <v/>
      </c>
      <c r="O53" s="11"/>
      <c r="P53" s="11"/>
      <c r="Q53" s="11"/>
      <c r="R53" s="11"/>
      <c r="S53" s="18"/>
    </row>
    <row r="54" customFormat="false" ht="18" hidden="false" customHeight="true" outlineLevel="0" collapsed="false">
      <c r="A54" s="19"/>
      <c r="B54" s="19"/>
      <c r="C54" s="19"/>
      <c r="D54" s="19"/>
      <c r="E54" s="20"/>
      <c r="F54" s="20"/>
      <c r="G54" s="20"/>
      <c r="H54" s="20"/>
      <c r="I54" s="21"/>
      <c r="J54" s="22" t="str">
        <f aca="false">IFERROR(IF(AND(E54&lt;&gt;"",F54&lt;&gt;"",I54&lt;&gt;""),ABS(E54-F54)*I54,""),("))))</f>
        <v/>
      </c>
      <c r="K54" s="22" t="str">
        <f aca="false">IFERROR(IF(AND(E54&lt;&gt;"",H54&lt;&gt;"",I54&lt;&gt;""),IF(D54="Short",(E54-H54)*I54,(H54-E54)*I54),""),("))))</f>
        <v/>
      </c>
      <c r="L54" s="23" t="str">
        <f aca="false">IFERROR(IF(AND(E54&lt;&gt;"",H54&lt;&gt;""),IF(D54="Short",(E54-H54)/E54,(H54-E54)/E54),""),("))))</f>
        <v/>
      </c>
      <c r="M54" s="24" t="str">
        <f aca="false">IFERROR(IF(AND(K54&lt;&gt;"",J54&lt;&gt;"",J54&lt;&gt;0),K54/J54,""),("))))</f>
        <v/>
      </c>
      <c r="N54" s="25" t="str">
        <f aca="false">IFERROR(IF(K54="","",IF(K54&gt;0,"Win",IF(K54&lt;0,"Loss","BE"))),("))))</f>
        <v/>
      </c>
      <c r="O54" s="19"/>
      <c r="P54" s="19"/>
      <c r="Q54" s="19"/>
      <c r="R54" s="19"/>
      <c r="S54" s="26"/>
    </row>
    <row r="55" customFormat="false" ht="18" hidden="false" customHeight="true" outlineLevel="0" collapsed="false">
      <c r="A55" s="11"/>
      <c r="B55" s="11"/>
      <c r="C55" s="11"/>
      <c r="D55" s="11"/>
      <c r="E55" s="12"/>
      <c r="F55" s="12"/>
      <c r="G55" s="12"/>
      <c r="H55" s="12"/>
      <c r="I55" s="13"/>
      <c r="J55" s="14" t="str">
        <f aca="false">IFERROR(IF(AND(E55&lt;&gt;"",F55&lt;&gt;"",I55&lt;&gt;""),ABS(E55-F55)*I55,""),("))))</f>
        <v/>
      </c>
      <c r="K55" s="14" t="str">
        <f aca="false">IFERROR(IF(AND(E55&lt;&gt;"",H55&lt;&gt;"",I55&lt;&gt;""),IF(D55="Short",(E55-H55)*I55,(H55-E55)*I55),""),("))))</f>
        <v/>
      </c>
      <c r="L55" s="15" t="str">
        <f aca="false">IFERROR(IF(AND(E55&lt;&gt;"",H55&lt;&gt;""),IF(D55="Short",(E55-H55)/E55,(H55-E55)/E55),""),("))))</f>
        <v/>
      </c>
      <c r="M55" s="16" t="str">
        <f aca="false">IFERROR(IF(AND(K55&lt;&gt;"",J55&lt;&gt;"",J55&lt;&gt;0),K55/J55,""),("))))</f>
        <v/>
      </c>
      <c r="N55" s="17" t="str">
        <f aca="false">IFERROR(IF(K55="","",IF(K55&gt;0,"Win",IF(K55&lt;0,"Loss","BE"))),("))))</f>
        <v/>
      </c>
      <c r="O55" s="11"/>
      <c r="P55" s="11"/>
      <c r="Q55" s="11"/>
      <c r="R55" s="11"/>
      <c r="S55" s="18"/>
    </row>
    <row r="56" customFormat="false" ht="18" hidden="false" customHeight="true" outlineLevel="0" collapsed="false">
      <c r="A56" s="19"/>
      <c r="B56" s="19"/>
      <c r="C56" s="19"/>
      <c r="D56" s="19"/>
      <c r="E56" s="20"/>
      <c r="F56" s="20"/>
      <c r="G56" s="20"/>
      <c r="H56" s="20"/>
      <c r="I56" s="21"/>
      <c r="J56" s="22" t="str">
        <f aca="false">IFERROR(IF(AND(E56&lt;&gt;"",F56&lt;&gt;"",I56&lt;&gt;""),ABS(E56-F56)*I56,""),("))))</f>
        <v/>
      </c>
      <c r="K56" s="22" t="str">
        <f aca="false">IFERROR(IF(AND(E56&lt;&gt;"",H56&lt;&gt;"",I56&lt;&gt;""),IF(D56="Short",(E56-H56)*I56,(H56-E56)*I56),""),("))))</f>
        <v/>
      </c>
      <c r="L56" s="23" t="str">
        <f aca="false">IFERROR(IF(AND(E56&lt;&gt;"",H56&lt;&gt;""),IF(D56="Short",(E56-H56)/E56,(H56-E56)/E56),""),("))))</f>
        <v/>
      </c>
      <c r="M56" s="24" t="str">
        <f aca="false">IFERROR(IF(AND(K56&lt;&gt;"",J56&lt;&gt;"",J56&lt;&gt;0),K56/J56,""),("))))</f>
        <v/>
      </c>
      <c r="N56" s="25" t="str">
        <f aca="false">IFERROR(IF(K56="","",IF(K56&gt;0,"Win",IF(K56&lt;0,"Loss","BE"))),("))))</f>
        <v/>
      </c>
      <c r="O56" s="19"/>
      <c r="P56" s="19"/>
      <c r="Q56" s="19"/>
      <c r="R56" s="19"/>
      <c r="S56" s="26"/>
    </row>
    <row r="57" customFormat="false" ht="18" hidden="false" customHeight="true" outlineLevel="0" collapsed="false">
      <c r="A57" s="11"/>
      <c r="B57" s="11"/>
      <c r="C57" s="11"/>
      <c r="D57" s="11"/>
      <c r="E57" s="12"/>
      <c r="F57" s="12"/>
      <c r="G57" s="12"/>
      <c r="H57" s="12"/>
      <c r="I57" s="13"/>
      <c r="J57" s="14" t="str">
        <f aca="false">IFERROR(IF(AND(E57&lt;&gt;"",F57&lt;&gt;"",I57&lt;&gt;""),ABS(E57-F57)*I57,""),("))))</f>
        <v/>
      </c>
      <c r="K57" s="14" t="str">
        <f aca="false">IFERROR(IF(AND(E57&lt;&gt;"",H57&lt;&gt;"",I57&lt;&gt;""),IF(D57="Short",(E57-H57)*I57,(H57-E57)*I57),""),("))))</f>
        <v/>
      </c>
      <c r="L57" s="15" t="str">
        <f aca="false">IFERROR(IF(AND(E57&lt;&gt;"",H57&lt;&gt;""),IF(D57="Short",(E57-H57)/E57,(H57-E57)/E57),""),("))))</f>
        <v/>
      </c>
      <c r="M57" s="16" t="str">
        <f aca="false">IFERROR(IF(AND(K57&lt;&gt;"",J57&lt;&gt;"",J57&lt;&gt;0),K57/J57,""),("))))</f>
        <v/>
      </c>
      <c r="N57" s="17" t="str">
        <f aca="false">IFERROR(IF(K57="","",IF(K57&gt;0,"Win",IF(K57&lt;0,"Loss","BE"))),("))))</f>
        <v/>
      </c>
      <c r="O57" s="11"/>
      <c r="P57" s="11"/>
      <c r="Q57" s="11"/>
      <c r="R57" s="11"/>
      <c r="S57" s="18"/>
    </row>
    <row r="58" customFormat="false" ht="18" hidden="false" customHeight="true" outlineLevel="0" collapsed="false">
      <c r="A58" s="19"/>
      <c r="B58" s="19"/>
      <c r="C58" s="19"/>
      <c r="D58" s="19"/>
      <c r="E58" s="20"/>
      <c r="F58" s="20"/>
      <c r="G58" s="20"/>
      <c r="H58" s="20"/>
      <c r="I58" s="21"/>
      <c r="J58" s="22" t="str">
        <f aca="false">IFERROR(IF(AND(E58&lt;&gt;"",F58&lt;&gt;"",I58&lt;&gt;""),ABS(E58-F58)*I58,""),("))))</f>
        <v/>
      </c>
      <c r="K58" s="22" t="str">
        <f aca="false">IFERROR(IF(AND(E58&lt;&gt;"",H58&lt;&gt;"",I58&lt;&gt;""),IF(D58="Short",(E58-H58)*I58,(H58-E58)*I58),""),("))))</f>
        <v/>
      </c>
      <c r="L58" s="23" t="str">
        <f aca="false">IFERROR(IF(AND(E58&lt;&gt;"",H58&lt;&gt;""),IF(D58="Short",(E58-H58)/E58,(H58-E58)/E58),""),("))))</f>
        <v/>
      </c>
      <c r="M58" s="24" t="str">
        <f aca="false">IFERROR(IF(AND(K58&lt;&gt;"",J58&lt;&gt;"",J58&lt;&gt;0),K58/J58,""),("))))</f>
        <v/>
      </c>
      <c r="N58" s="25" t="str">
        <f aca="false">IFERROR(IF(K58="","",IF(K58&gt;0,"Win",IF(K58&lt;0,"Loss","BE"))),("))))</f>
        <v/>
      </c>
      <c r="O58" s="19"/>
      <c r="P58" s="19"/>
      <c r="Q58" s="19"/>
      <c r="R58" s="19"/>
      <c r="S58" s="26"/>
    </row>
    <row r="59" customFormat="false" ht="18" hidden="false" customHeight="true" outlineLevel="0" collapsed="false">
      <c r="A59" s="11"/>
      <c r="B59" s="11"/>
      <c r="C59" s="11"/>
      <c r="D59" s="11"/>
      <c r="E59" s="12"/>
      <c r="F59" s="12"/>
      <c r="G59" s="12"/>
      <c r="H59" s="12"/>
      <c r="I59" s="13"/>
      <c r="J59" s="14" t="str">
        <f aca="false">IFERROR(IF(AND(E59&lt;&gt;"",F59&lt;&gt;"",I59&lt;&gt;""),ABS(E59-F59)*I59,""),("))))</f>
        <v/>
      </c>
      <c r="K59" s="14" t="str">
        <f aca="false">IFERROR(IF(AND(E59&lt;&gt;"",H59&lt;&gt;"",I59&lt;&gt;""),IF(D59="Short",(E59-H59)*I59,(H59-E59)*I59),""),("))))</f>
        <v/>
      </c>
      <c r="L59" s="15" t="str">
        <f aca="false">IFERROR(IF(AND(E59&lt;&gt;"",H59&lt;&gt;""),IF(D59="Short",(E59-H59)/E59,(H59-E59)/E59),""),("))))</f>
        <v/>
      </c>
      <c r="M59" s="16" t="str">
        <f aca="false">IFERROR(IF(AND(K59&lt;&gt;"",J59&lt;&gt;"",J59&lt;&gt;0),K59/J59,""),("))))</f>
        <v/>
      </c>
      <c r="N59" s="17" t="str">
        <f aca="false">IFERROR(IF(K59="","",IF(K59&gt;0,"Win",IF(K59&lt;0,"Loss","BE"))),("))))</f>
        <v/>
      </c>
      <c r="O59" s="11"/>
      <c r="P59" s="11"/>
      <c r="Q59" s="11"/>
      <c r="R59" s="11"/>
      <c r="S59" s="18"/>
    </row>
    <row r="60" customFormat="false" ht="18" hidden="false" customHeight="true" outlineLevel="0" collapsed="false">
      <c r="A60" s="19"/>
      <c r="B60" s="19"/>
      <c r="C60" s="19"/>
      <c r="D60" s="19"/>
      <c r="E60" s="20"/>
      <c r="F60" s="20"/>
      <c r="G60" s="20"/>
      <c r="H60" s="20"/>
      <c r="I60" s="21"/>
      <c r="J60" s="22" t="str">
        <f aca="false">IFERROR(IF(AND(E60&lt;&gt;"",F60&lt;&gt;"",I60&lt;&gt;""),ABS(E60-F60)*I60,""),("))))</f>
        <v/>
      </c>
      <c r="K60" s="22" t="str">
        <f aca="false">IFERROR(IF(AND(E60&lt;&gt;"",H60&lt;&gt;"",I60&lt;&gt;""),IF(D60="Short",(E60-H60)*I60,(H60-E60)*I60),""),("))))</f>
        <v/>
      </c>
      <c r="L60" s="23" t="str">
        <f aca="false">IFERROR(IF(AND(E60&lt;&gt;"",H60&lt;&gt;""),IF(D60="Short",(E60-H60)/E60,(H60-E60)/E60),""),("))))</f>
        <v/>
      </c>
      <c r="M60" s="24" t="str">
        <f aca="false">IFERROR(IF(AND(K60&lt;&gt;"",J60&lt;&gt;"",J60&lt;&gt;0),K60/J60,""),("))))</f>
        <v/>
      </c>
      <c r="N60" s="25" t="str">
        <f aca="false">IFERROR(IF(K60="","",IF(K60&gt;0,"Win",IF(K60&lt;0,"Loss","BE"))),("))))</f>
        <v/>
      </c>
      <c r="O60" s="19"/>
      <c r="P60" s="19"/>
      <c r="Q60" s="19"/>
      <c r="R60" s="19"/>
      <c r="S60" s="26"/>
    </row>
    <row r="61" customFormat="false" ht="18" hidden="false" customHeight="true" outlineLevel="0" collapsed="false">
      <c r="A61" s="11"/>
      <c r="B61" s="11"/>
      <c r="C61" s="11"/>
      <c r="D61" s="11"/>
      <c r="E61" s="12"/>
      <c r="F61" s="12"/>
      <c r="G61" s="12"/>
      <c r="H61" s="12"/>
      <c r="I61" s="13"/>
      <c r="J61" s="14" t="str">
        <f aca="false">IFERROR(IF(AND(E61&lt;&gt;"",F61&lt;&gt;"",I61&lt;&gt;""),ABS(E61-F61)*I61,""),("))))</f>
        <v/>
      </c>
      <c r="K61" s="14" t="str">
        <f aca="false">IFERROR(IF(AND(E61&lt;&gt;"",H61&lt;&gt;"",I61&lt;&gt;""),IF(D61="Short",(E61-H61)*I61,(H61-E61)*I61),""),("))))</f>
        <v/>
      </c>
      <c r="L61" s="15" t="str">
        <f aca="false">IFERROR(IF(AND(E61&lt;&gt;"",H61&lt;&gt;""),IF(D61="Short",(E61-H61)/E61,(H61-E61)/E61),""),("))))</f>
        <v/>
      </c>
      <c r="M61" s="16" t="str">
        <f aca="false">IFERROR(IF(AND(K61&lt;&gt;"",J61&lt;&gt;"",J61&lt;&gt;0),K61/J61,""),("))))</f>
        <v/>
      </c>
      <c r="N61" s="17" t="str">
        <f aca="false">IFERROR(IF(K61="","",IF(K61&gt;0,"Win",IF(K61&lt;0,"Loss","BE"))),("))))</f>
        <v/>
      </c>
      <c r="O61" s="11"/>
      <c r="P61" s="11"/>
      <c r="Q61" s="11"/>
      <c r="R61" s="11"/>
      <c r="S61" s="18"/>
    </row>
    <row r="62" customFormat="false" ht="18" hidden="false" customHeight="true" outlineLevel="0" collapsed="false">
      <c r="A62" s="19"/>
      <c r="B62" s="19"/>
      <c r="C62" s="19"/>
      <c r="D62" s="19"/>
      <c r="E62" s="20"/>
      <c r="F62" s="20"/>
      <c r="G62" s="20"/>
      <c r="H62" s="20"/>
      <c r="I62" s="21"/>
      <c r="J62" s="22" t="str">
        <f aca="false">IFERROR(IF(AND(E62&lt;&gt;"",F62&lt;&gt;"",I62&lt;&gt;""),ABS(E62-F62)*I62,""),("))))</f>
        <v/>
      </c>
      <c r="K62" s="22" t="str">
        <f aca="false">IFERROR(IF(AND(E62&lt;&gt;"",H62&lt;&gt;"",I62&lt;&gt;""),IF(D62="Short",(E62-H62)*I62,(H62-E62)*I62),""),("))))</f>
        <v/>
      </c>
      <c r="L62" s="23" t="str">
        <f aca="false">IFERROR(IF(AND(E62&lt;&gt;"",H62&lt;&gt;""),IF(D62="Short",(E62-H62)/E62,(H62-E62)/E62),""),("))))</f>
        <v/>
      </c>
      <c r="M62" s="24" t="str">
        <f aca="false">IFERROR(IF(AND(K62&lt;&gt;"",J62&lt;&gt;"",J62&lt;&gt;0),K62/J62,""),("))))</f>
        <v/>
      </c>
      <c r="N62" s="25" t="str">
        <f aca="false">IFERROR(IF(K62="","",IF(K62&gt;0,"Win",IF(K62&lt;0,"Loss","BE"))),("))))</f>
        <v/>
      </c>
      <c r="O62" s="19"/>
      <c r="P62" s="19"/>
      <c r="Q62" s="19"/>
      <c r="R62" s="19"/>
      <c r="S62" s="26"/>
    </row>
    <row r="63" customFormat="false" ht="18" hidden="false" customHeight="true" outlineLevel="0" collapsed="false">
      <c r="A63" s="11"/>
      <c r="B63" s="11"/>
      <c r="C63" s="11"/>
      <c r="D63" s="11"/>
      <c r="E63" s="12"/>
      <c r="F63" s="12"/>
      <c r="G63" s="12"/>
      <c r="H63" s="12"/>
      <c r="I63" s="13"/>
      <c r="J63" s="14" t="str">
        <f aca="false">IFERROR(IF(AND(E63&lt;&gt;"",F63&lt;&gt;"",I63&lt;&gt;""),ABS(E63-F63)*I63,""),("))))</f>
        <v/>
      </c>
      <c r="K63" s="14" t="str">
        <f aca="false">IFERROR(IF(AND(E63&lt;&gt;"",H63&lt;&gt;"",I63&lt;&gt;""),IF(D63="Short",(E63-H63)*I63,(H63-E63)*I63),""),("))))</f>
        <v/>
      </c>
      <c r="L63" s="15" t="str">
        <f aca="false">IFERROR(IF(AND(E63&lt;&gt;"",H63&lt;&gt;""),IF(D63="Short",(E63-H63)/E63,(H63-E63)/E63),""),("))))</f>
        <v/>
      </c>
      <c r="M63" s="16" t="str">
        <f aca="false">IFERROR(IF(AND(K63&lt;&gt;"",J63&lt;&gt;"",J63&lt;&gt;0),K63/J63,""),("))))</f>
        <v/>
      </c>
      <c r="N63" s="17" t="str">
        <f aca="false">IFERROR(IF(K63="","",IF(K63&gt;0,"Win",IF(K63&lt;0,"Loss","BE"))),("))))</f>
        <v/>
      </c>
      <c r="O63" s="11"/>
      <c r="P63" s="11"/>
      <c r="Q63" s="11"/>
      <c r="R63" s="11"/>
      <c r="S63" s="18"/>
    </row>
    <row r="64" customFormat="false" ht="18" hidden="false" customHeight="true" outlineLevel="0" collapsed="false">
      <c r="A64" s="19"/>
      <c r="B64" s="19"/>
      <c r="C64" s="19"/>
      <c r="D64" s="19"/>
      <c r="E64" s="20"/>
      <c r="F64" s="20"/>
      <c r="G64" s="20"/>
      <c r="H64" s="20"/>
      <c r="I64" s="21"/>
      <c r="J64" s="22" t="str">
        <f aca="false">IFERROR(IF(AND(E64&lt;&gt;"",F64&lt;&gt;"",I64&lt;&gt;""),ABS(E64-F64)*I64,""),("))))</f>
        <v/>
      </c>
      <c r="K64" s="22" t="str">
        <f aca="false">IFERROR(IF(AND(E64&lt;&gt;"",H64&lt;&gt;"",I64&lt;&gt;""),IF(D64="Short",(E64-H64)*I64,(H64-E64)*I64),""),("))))</f>
        <v/>
      </c>
      <c r="L64" s="23" t="str">
        <f aca="false">IFERROR(IF(AND(E64&lt;&gt;"",H64&lt;&gt;""),IF(D64="Short",(E64-H64)/E64,(H64-E64)/E64),""),("))))</f>
        <v/>
      </c>
      <c r="M64" s="24" t="str">
        <f aca="false">IFERROR(IF(AND(K64&lt;&gt;"",J64&lt;&gt;"",J64&lt;&gt;0),K64/J64,""),("))))</f>
        <v/>
      </c>
      <c r="N64" s="25" t="str">
        <f aca="false">IFERROR(IF(K64="","",IF(K64&gt;0,"Win",IF(K64&lt;0,"Loss","BE"))),("))))</f>
        <v/>
      </c>
      <c r="O64" s="19"/>
      <c r="P64" s="19"/>
      <c r="Q64" s="19"/>
      <c r="R64" s="19"/>
      <c r="S64" s="26"/>
    </row>
    <row r="65" customFormat="false" ht="18" hidden="false" customHeight="true" outlineLevel="0" collapsed="false">
      <c r="A65" s="11"/>
      <c r="B65" s="11"/>
      <c r="C65" s="11"/>
      <c r="D65" s="11"/>
      <c r="E65" s="12"/>
      <c r="F65" s="12"/>
      <c r="G65" s="12"/>
      <c r="H65" s="12"/>
      <c r="I65" s="13"/>
      <c r="J65" s="14" t="str">
        <f aca="false">IFERROR(IF(AND(E65&lt;&gt;"",F65&lt;&gt;"",I65&lt;&gt;""),ABS(E65-F65)*I65,""),("))))</f>
        <v/>
      </c>
      <c r="K65" s="14" t="str">
        <f aca="false">IFERROR(IF(AND(E65&lt;&gt;"",H65&lt;&gt;"",I65&lt;&gt;""),IF(D65="Short",(E65-H65)*I65,(H65-E65)*I65),""),("))))</f>
        <v/>
      </c>
      <c r="L65" s="15" t="str">
        <f aca="false">IFERROR(IF(AND(E65&lt;&gt;"",H65&lt;&gt;""),IF(D65="Short",(E65-H65)/E65,(H65-E65)/E65),""),("))))</f>
        <v/>
      </c>
      <c r="M65" s="16" t="str">
        <f aca="false">IFERROR(IF(AND(K65&lt;&gt;"",J65&lt;&gt;"",J65&lt;&gt;0),K65/J65,""),("))))</f>
        <v/>
      </c>
      <c r="N65" s="17" t="str">
        <f aca="false">IFERROR(IF(K65="","",IF(K65&gt;0,"Win",IF(K65&lt;0,"Loss","BE"))),("))))</f>
        <v/>
      </c>
      <c r="O65" s="11"/>
      <c r="P65" s="11"/>
      <c r="Q65" s="11"/>
      <c r="R65" s="11"/>
      <c r="S65" s="18"/>
    </row>
    <row r="66" customFormat="false" ht="18" hidden="false" customHeight="true" outlineLevel="0" collapsed="false">
      <c r="A66" s="19"/>
      <c r="B66" s="19"/>
      <c r="C66" s="19"/>
      <c r="D66" s="19"/>
      <c r="E66" s="20"/>
      <c r="F66" s="20"/>
      <c r="G66" s="20"/>
      <c r="H66" s="20"/>
      <c r="I66" s="21"/>
      <c r="J66" s="22" t="str">
        <f aca="false">IFERROR(IF(AND(E66&lt;&gt;"",F66&lt;&gt;"",I66&lt;&gt;""),ABS(E66-F66)*I66,""),("))))</f>
        <v/>
      </c>
      <c r="K66" s="22" t="str">
        <f aca="false">IFERROR(IF(AND(E66&lt;&gt;"",H66&lt;&gt;"",I66&lt;&gt;""),IF(D66="Short",(E66-H66)*I66,(H66-E66)*I66),""),("))))</f>
        <v/>
      </c>
      <c r="L66" s="23" t="str">
        <f aca="false">IFERROR(IF(AND(E66&lt;&gt;"",H66&lt;&gt;""),IF(D66="Short",(E66-H66)/E66,(H66-E66)/E66),""),("))))</f>
        <v/>
      </c>
      <c r="M66" s="24" t="str">
        <f aca="false">IFERROR(IF(AND(K66&lt;&gt;"",J66&lt;&gt;"",J66&lt;&gt;0),K66/J66,""),("))))</f>
        <v/>
      </c>
      <c r="N66" s="25" t="str">
        <f aca="false">IFERROR(IF(K66="","",IF(K66&gt;0,"Win",IF(K66&lt;0,"Loss","BE"))),("))))</f>
        <v/>
      </c>
      <c r="O66" s="19"/>
      <c r="P66" s="19"/>
      <c r="Q66" s="19"/>
      <c r="R66" s="19"/>
      <c r="S66" s="26"/>
    </row>
    <row r="67" customFormat="false" ht="18" hidden="false" customHeight="true" outlineLevel="0" collapsed="false">
      <c r="A67" s="11"/>
      <c r="B67" s="11"/>
      <c r="C67" s="11"/>
      <c r="D67" s="11"/>
      <c r="E67" s="12"/>
      <c r="F67" s="12"/>
      <c r="G67" s="12"/>
      <c r="H67" s="12"/>
      <c r="I67" s="13"/>
      <c r="J67" s="14" t="str">
        <f aca="false">IFERROR(IF(AND(E67&lt;&gt;"",F67&lt;&gt;"",I67&lt;&gt;""),ABS(E67-F67)*I67,""),("))))</f>
        <v/>
      </c>
      <c r="K67" s="14" t="str">
        <f aca="false">IFERROR(IF(AND(E67&lt;&gt;"",H67&lt;&gt;"",I67&lt;&gt;""),IF(D67="Short",(E67-H67)*I67,(H67-E67)*I67),""),("))))</f>
        <v/>
      </c>
      <c r="L67" s="15" t="str">
        <f aca="false">IFERROR(IF(AND(E67&lt;&gt;"",H67&lt;&gt;""),IF(D67="Short",(E67-H67)/E67,(H67-E67)/E67),""),("))))</f>
        <v/>
      </c>
      <c r="M67" s="16" t="str">
        <f aca="false">IFERROR(IF(AND(K67&lt;&gt;"",J67&lt;&gt;"",J67&lt;&gt;0),K67/J67,""),("))))</f>
        <v/>
      </c>
      <c r="N67" s="17" t="str">
        <f aca="false">IFERROR(IF(K67="","",IF(K67&gt;0,"Win",IF(K67&lt;0,"Loss","BE"))),("))))</f>
        <v/>
      </c>
      <c r="O67" s="11"/>
      <c r="P67" s="11"/>
      <c r="Q67" s="11"/>
      <c r="R67" s="11"/>
      <c r="S67" s="18"/>
    </row>
    <row r="68" customFormat="false" ht="18" hidden="false" customHeight="true" outlineLevel="0" collapsed="false">
      <c r="A68" s="19"/>
      <c r="B68" s="19"/>
      <c r="C68" s="19"/>
      <c r="D68" s="19"/>
      <c r="E68" s="20"/>
      <c r="F68" s="20"/>
      <c r="G68" s="20"/>
      <c r="H68" s="20"/>
      <c r="I68" s="21"/>
      <c r="J68" s="22" t="str">
        <f aca="false">IFERROR(IF(AND(E68&lt;&gt;"",F68&lt;&gt;"",I68&lt;&gt;""),ABS(E68-F68)*I68,""),("))))</f>
        <v/>
      </c>
      <c r="K68" s="22" t="str">
        <f aca="false">IFERROR(IF(AND(E68&lt;&gt;"",H68&lt;&gt;"",I68&lt;&gt;""),IF(D68="Short",(E68-H68)*I68,(H68-E68)*I68),""),("))))</f>
        <v/>
      </c>
      <c r="L68" s="23" t="str">
        <f aca="false">IFERROR(IF(AND(E68&lt;&gt;"",H68&lt;&gt;""),IF(D68="Short",(E68-H68)/E68,(H68-E68)/E68),""),("))))</f>
        <v/>
      </c>
      <c r="M68" s="24" t="str">
        <f aca="false">IFERROR(IF(AND(K68&lt;&gt;"",J68&lt;&gt;"",J68&lt;&gt;0),K68/J68,""),("))))</f>
        <v/>
      </c>
      <c r="N68" s="25" t="str">
        <f aca="false">IFERROR(IF(K68="","",IF(K68&gt;0,"Win",IF(K68&lt;0,"Loss","BE"))),("))))</f>
        <v/>
      </c>
      <c r="O68" s="19"/>
      <c r="P68" s="19"/>
      <c r="Q68" s="19"/>
      <c r="R68" s="19"/>
      <c r="S68" s="26"/>
    </row>
    <row r="69" customFormat="false" ht="18" hidden="false" customHeight="true" outlineLevel="0" collapsed="false">
      <c r="A69" s="11"/>
      <c r="B69" s="11"/>
      <c r="C69" s="11"/>
      <c r="D69" s="11"/>
      <c r="E69" s="12"/>
      <c r="F69" s="12"/>
      <c r="G69" s="12"/>
      <c r="H69" s="12"/>
      <c r="I69" s="13"/>
      <c r="J69" s="14" t="str">
        <f aca="false">IFERROR(IF(AND(E69&lt;&gt;"",F69&lt;&gt;"",I69&lt;&gt;""),ABS(E69-F69)*I69,""),("))))</f>
        <v/>
      </c>
      <c r="K69" s="14" t="str">
        <f aca="false">IFERROR(IF(AND(E69&lt;&gt;"",H69&lt;&gt;"",I69&lt;&gt;""),IF(D69="Short",(E69-H69)*I69,(H69-E69)*I69),""),("))))</f>
        <v/>
      </c>
      <c r="L69" s="15" t="str">
        <f aca="false">IFERROR(IF(AND(E69&lt;&gt;"",H69&lt;&gt;""),IF(D69="Short",(E69-H69)/E69,(H69-E69)/E69),""),("))))</f>
        <v/>
      </c>
      <c r="M69" s="16" t="str">
        <f aca="false">IFERROR(IF(AND(K69&lt;&gt;"",J69&lt;&gt;"",J69&lt;&gt;0),K69/J69,""),("))))</f>
        <v/>
      </c>
      <c r="N69" s="17" t="str">
        <f aca="false">IFERROR(IF(K69="","",IF(K69&gt;0,"Win",IF(K69&lt;0,"Loss","BE"))),("))))</f>
        <v/>
      </c>
      <c r="O69" s="11"/>
      <c r="P69" s="11"/>
      <c r="Q69" s="11"/>
      <c r="R69" s="11"/>
      <c r="S69" s="18"/>
    </row>
    <row r="70" customFormat="false" ht="18" hidden="false" customHeight="true" outlineLevel="0" collapsed="false">
      <c r="A70" s="19"/>
      <c r="B70" s="19"/>
      <c r="C70" s="19"/>
      <c r="D70" s="19"/>
      <c r="E70" s="20"/>
      <c r="F70" s="20"/>
      <c r="G70" s="20"/>
      <c r="H70" s="20"/>
      <c r="I70" s="21"/>
      <c r="J70" s="22" t="str">
        <f aca="false">IFERROR(IF(AND(E70&lt;&gt;"",F70&lt;&gt;"",I70&lt;&gt;""),ABS(E70-F70)*I70,""),("))))</f>
        <v/>
      </c>
      <c r="K70" s="22" t="str">
        <f aca="false">IFERROR(IF(AND(E70&lt;&gt;"",H70&lt;&gt;"",I70&lt;&gt;""),IF(D70="Short",(E70-H70)*I70,(H70-E70)*I70),""),("))))</f>
        <v/>
      </c>
      <c r="L70" s="23" t="str">
        <f aca="false">IFERROR(IF(AND(E70&lt;&gt;"",H70&lt;&gt;""),IF(D70="Short",(E70-H70)/E70,(H70-E70)/E70),""),("))))</f>
        <v/>
      </c>
      <c r="M70" s="24" t="str">
        <f aca="false">IFERROR(IF(AND(K70&lt;&gt;"",J70&lt;&gt;"",J70&lt;&gt;0),K70/J70,""),("))))</f>
        <v/>
      </c>
      <c r="N70" s="25" t="str">
        <f aca="false">IFERROR(IF(K70="","",IF(K70&gt;0,"Win",IF(K70&lt;0,"Loss","BE"))),("))))</f>
        <v/>
      </c>
      <c r="O70" s="19"/>
      <c r="P70" s="19"/>
      <c r="Q70" s="19"/>
      <c r="R70" s="19"/>
      <c r="S70" s="26"/>
    </row>
    <row r="71" customFormat="false" ht="18" hidden="false" customHeight="true" outlineLevel="0" collapsed="false">
      <c r="A71" s="11"/>
      <c r="B71" s="11"/>
      <c r="C71" s="11"/>
      <c r="D71" s="11"/>
      <c r="E71" s="12"/>
      <c r="F71" s="12"/>
      <c r="G71" s="12"/>
      <c r="H71" s="12"/>
      <c r="I71" s="13"/>
      <c r="J71" s="14" t="str">
        <f aca="false">IFERROR(IF(AND(E71&lt;&gt;"",F71&lt;&gt;"",I71&lt;&gt;""),ABS(E71-F71)*I71,""),("))))</f>
        <v/>
      </c>
      <c r="K71" s="14" t="str">
        <f aca="false">IFERROR(IF(AND(E71&lt;&gt;"",H71&lt;&gt;"",I71&lt;&gt;""),IF(D71="Short",(E71-H71)*I71,(H71-E71)*I71),""),("))))</f>
        <v/>
      </c>
      <c r="L71" s="15" t="str">
        <f aca="false">IFERROR(IF(AND(E71&lt;&gt;"",H71&lt;&gt;""),IF(D71="Short",(E71-H71)/E71,(H71-E71)/E71),""),("))))</f>
        <v/>
      </c>
      <c r="M71" s="16" t="str">
        <f aca="false">IFERROR(IF(AND(K71&lt;&gt;"",J71&lt;&gt;"",J71&lt;&gt;0),K71/J71,""),("))))</f>
        <v/>
      </c>
      <c r="N71" s="17" t="str">
        <f aca="false">IFERROR(IF(K71="","",IF(K71&gt;0,"Win",IF(K71&lt;0,"Loss","BE"))),("))))</f>
        <v/>
      </c>
      <c r="O71" s="11"/>
      <c r="P71" s="11"/>
      <c r="Q71" s="11"/>
      <c r="R71" s="11"/>
      <c r="S71" s="18"/>
    </row>
    <row r="72" customFormat="false" ht="18" hidden="false" customHeight="true" outlineLevel="0" collapsed="false">
      <c r="A72" s="19"/>
      <c r="B72" s="19"/>
      <c r="C72" s="19"/>
      <c r="D72" s="19"/>
      <c r="E72" s="20"/>
      <c r="F72" s="20"/>
      <c r="G72" s="20"/>
      <c r="H72" s="20"/>
      <c r="I72" s="21"/>
      <c r="J72" s="22" t="str">
        <f aca="false">IFERROR(IF(AND(E72&lt;&gt;"",F72&lt;&gt;"",I72&lt;&gt;""),ABS(E72-F72)*I72,""),("))))</f>
        <v/>
      </c>
      <c r="K72" s="22" t="str">
        <f aca="false">IFERROR(IF(AND(E72&lt;&gt;"",H72&lt;&gt;"",I72&lt;&gt;""),IF(D72="Short",(E72-H72)*I72,(H72-E72)*I72),""),("))))</f>
        <v/>
      </c>
      <c r="L72" s="23" t="str">
        <f aca="false">IFERROR(IF(AND(E72&lt;&gt;"",H72&lt;&gt;""),IF(D72="Short",(E72-H72)/E72,(H72-E72)/E72),""),("))))</f>
        <v/>
      </c>
      <c r="M72" s="24" t="str">
        <f aca="false">IFERROR(IF(AND(K72&lt;&gt;"",J72&lt;&gt;"",J72&lt;&gt;0),K72/J72,""),("))))</f>
        <v/>
      </c>
      <c r="N72" s="25" t="str">
        <f aca="false">IFERROR(IF(K72="","",IF(K72&gt;0,"Win",IF(K72&lt;0,"Loss","BE"))),("))))</f>
        <v/>
      </c>
      <c r="O72" s="19"/>
      <c r="P72" s="19"/>
      <c r="Q72" s="19"/>
      <c r="R72" s="19"/>
      <c r="S72" s="26"/>
    </row>
    <row r="73" customFormat="false" ht="18" hidden="false" customHeight="true" outlineLevel="0" collapsed="false">
      <c r="A73" s="11"/>
      <c r="B73" s="11"/>
      <c r="C73" s="11"/>
      <c r="D73" s="11"/>
      <c r="E73" s="12"/>
      <c r="F73" s="12"/>
      <c r="G73" s="12"/>
      <c r="H73" s="12"/>
      <c r="I73" s="13"/>
      <c r="J73" s="14" t="str">
        <f aca="false">IFERROR(IF(AND(E73&lt;&gt;"",F73&lt;&gt;"",I73&lt;&gt;""),ABS(E73-F73)*I73,""),("))))</f>
        <v/>
      </c>
      <c r="K73" s="14" t="str">
        <f aca="false">IFERROR(IF(AND(E73&lt;&gt;"",H73&lt;&gt;"",I73&lt;&gt;""),IF(D73="Short",(E73-H73)*I73,(H73-E73)*I73),""),("))))</f>
        <v/>
      </c>
      <c r="L73" s="15" t="str">
        <f aca="false">IFERROR(IF(AND(E73&lt;&gt;"",H73&lt;&gt;""),IF(D73="Short",(E73-H73)/E73,(H73-E73)/E73),""),("))))</f>
        <v/>
      </c>
      <c r="M73" s="16" t="str">
        <f aca="false">IFERROR(IF(AND(K73&lt;&gt;"",J73&lt;&gt;"",J73&lt;&gt;0),K73/J73,""),("))))</f>
        <v/>
      </c>
      <c r="N73" s="17" t="str">
        <f aca="false">IFERROR(IF(K73="","",IF(K73&gt;0,"Win",IF(K73&lt;0,"Loss","BE"))),("))))</f>
        <v/>
      </c>
      <c r="O73" s="11"/>
      <c r="P73" s="11"/>
      <c r="Q73" s="11"/>
      <c r="R73" s="11"/>
      <c r="S73" s="18"/>
    </row>
    <row r="74" customFormat="false" ht="18" hidden="false" customHeight="true" outlineLevel="0" collapsed="false">
      <c r="A74" s="19"/>
      <c r="B74" s="19"/>
      <c r="C74" s="19"/>
      <c r="D74" s="19"/>
      <c r="E74" s="20"/>
      <c r="F74" s="20"/>
      <c r="G74" s="20"/>
      <c r="H74" s="20"/>
      <c r="I74" s="21"/>
      <c r="J74" s="22" t="str">
        <f aca="false">IFERROR(IF(AND(E74&lt;&gt;"",F74&lt;&gt;"",I74&lt;&gt;""),ABS(E74-F74)*I74,""),("))))</f>
        <v/>
      </c>
      <c r="K74" s="22" t="str">
        <f aca="false">IFERROR(IF(AND(E74&lt;&gt;"",H74&lt;&gt;"",I74&lt;&gt;""),IF(D74="Short",(E74-H74)*I74,(H74-E74)*I74),""),("))))</f>
        <v/>
      </c>
      <c r="L74" s="23" t="str">
        <f aca="false">IFERROR(IF(AND(E74&lt;&gt;"",H74&lt;&gt;""),IF(D74="Short",(E74-H74)/E74,(H74-E74)/E74),""),("))))</f>
        <v/>
      </c>
      <c r="M74" s="24" t="str">
        <f aca="false">IFERROR(IF(AND(K74&lt;&gt;"",J74&lt;&gt;"",J74&lt;&gt;0),K74/J74,""),("))))</f>
        <v/>
      </c>
      <c r="N74" s="25" t="str">
        <f aca="false">IFERROR(IF(K74="","",IF(K74&gt;0,"Win",IF(K74&lt;0,"Loss","BE"))),("))))</f>
        <v/>
      </c>
      <c r="O74" s="19"/>
      <c r="P74" s="19"/>
      <c r="Q74" s="19"/>
      <c r="R74" s="19"/>
      <c r="S74" s="26"/>
    </row>
    <row r="75" customFormat="false" ht="18" hidden="false" customHeight="true" outlineLevel="0" collapsed="false">
      <c r="A75" s="11"/>
      <c r="B75" s="11"/>
      <c r="C75" s="11"/>
      <c r="D75" s="11"/>
      <c r="E75" s="12"/>
      <c r="F75" s="12"/>
      <c r="G75" s="12"/>
      <c r="H75" s="12"/>
      <c r="I75" s="13"/>
      <c r="J75" s="14" t="str">
        <f aca="false">IFERROR(IF(AND(E75&lt;&gt;"",F75&lt;&gt;"",I75&lt;&gt;""),ABS(E75-F75)*I75,""),("))))</f>
        <v/>
      </c>
      <c r="K75" s="14" t="str">
        <f aca="false">IFERROR(IF(AND(E75&lt;&gt;"",H75&lt;&gt;"",I75&lt;&gt;""),IF(D75="Short",(E75-H75)*I75,(H75-E75)*I75),""),("))))</f>
        <v/>
      </c>
      <c r="L75" s="15" t="str">
        <f aca="false">IFERROR(IF(AND(E75&lt;&gt;"",H75&lt;&gt;""),IF(D75="Short",(E75-H75)/E75,(H75-E75)/E75),""),("))))</f>
        <v/>
      </c>
      <c r="M75" s="16" t="str">
        <f aca="false">IFERROR(IF(AND(K75&lt;&gt;"",J75&lt;&gt;"",J75&lt;&gt;0),K75/J75,""),("))))</f>
        <v/>
      </c>
      <c r="N75" s="17" t="str">
        <f aca="false">IFERROR(IF(K75="","",IF(K75&gt;0,"Win",IF(K75&lt;0,"Loss","BE"))),("))))</f>
        <v/>
      </c>
      <c r="O75" s="11"/>
      <c r="P75" s="11"/>
      <c r="Q75" s="11"/>
      <c r="R75" s="11"/>
      <c r="S75" s="18"/>
    </row>
    <row r="76" customFormat="false" ht="18" hidden="false" customHeight="true" outlineLevel="0" collapsed="false">
      <c r="A76" s="19"/>
      <c r="B76" s="19"/>
      <c r="C76" s="19"/>
      <c r="D76" s="19"/>
      <c r="E76" s="20"/>
      <c r="F76" s="20"/>
      <c r="G76" s="20"/>
      <c r="H76" s="20"/>
      <c r="I76" s="21"/>
      <c r="J76" s="22" t="str">
        <f aca="false">IFERROR(IF(AND(E76&lt;&gt;"",F76&lt;&gt;"",I76&lt;&gt;""),ABS(E76-F76)*I76,""),("))))</f>
        <v/>
      </c>
      <c r="K76" s="22" t="str">
        <f aca="false">IFERROR(IF(AND(E76&lt;&gt;"",H76&lt;&gt;"",I76&lt;&gt;""),IF(D76="Short",(E76-H76)*I76,(H76-E76)*I76),""),("))))</f>
        <v/>
      </c>
      <c r="L76" s="23" t="str">
        <f aca="false">IFERROR(IF(AND(E76&lt;&gt;"",H76&lt;&gt;""),IF(D76="Short",(E76-H76)/E76,(H76-E76)/E76),""),("))))</f>
        <v/>
      </c>
      <c r="M76" s="24" t="str">
        <f aca="false">IFERROR(IF(AND(K76&lt;&gt;"",J76&lt;&gt;"",J76&lt;&gt;0),K76/J76,""),("))))</f>
        <v/>
      </c>
      <c r="N76" s="25" t="str">
        <f aca="false">IFERROR(IF(K76="","",IF(K76&gt;0,"Win",IF(K76&lt;0,"Loss","BE"))),("))))</f>
        <v/>
      </c>
      <c r="O76" s="19"/>
      <c r="P76" s="19"/>
      <c r="Q76" s="19"/>
      <c r="R76" s="19"/>
      <c r="S76" s="26"/>
    </row>
    <row r="77" customFormat="false" ht="18" hidden="false" customHeight="true" outlineLevel="0" collapsed="false">
      <c r="A77" s="11"/>
      <c r="B77" s="11"/>
      <c r="C77" s="11"/>
      <c r="D77" s="11"/>
      <c r="E77" s="12"/>
      <c r="F77" s="12"/>
      <c r="G77" s="12"/>
      <c r="H77" s="12"/>
      <c r="I77" s="13"/>
      <c r="J77" s="14" t="str">
        <f aca="false">IFERROR(IF(AND(E77&lt;&gt;"",F77&lt;&gt;"",I77&lt;&gt;""),ABS(E77-F77)*I77,""),("))))</f>
        <v/>
      </c>
      <c r="K77" s="14" t="str">
        <f aca="false">IFERROR(IF(AND(E77&lt;&gt;"",H77&lt;&gt;"",I77&lt;&gt;""),IF(D77="Short",(E77-H77)*I77,(H77-E77)*I77),""),("))))</f>
        <v/>
      </c>
      <c r="L77" s="15" t="str">
        <f aca="false">IFERROR(IF(AND(E77&lt;&gt;"",H77&lt;&gt;""),IF(D77="Short",(E77-H77)/E77,(H77-E77)/E77),""),("))))</f>
        <v/>
      </c>
      <c r="M77" s="16" t="str">
        <f aca="false">IFERROR(IF(AND(K77&lt;&gt;"",J77&lt;&gt;"",J77&lt;&gt;0),K77/J77,""),("))))</f>
        <v/>
      </c>
      <c r="N77" s="17" t="str">
        <f aca="false">IFERROR(IF(K77="","",IF(K77&gt;0,"Win",IF(K77&lt;0,"Loss","BE"))),("))))</f>
        <v/>
      </c>
      <c r="O77" s="11"/>
      <c r="P77" s="11"/>
      <c r="Q77" s="11"/>
      <c r="R77" s="11"/>
      <c r="S77" s="18"/>
    </row>
    <row r="78" customFormat="false" ht="18" hidden="false" customHeight="true" outlineLevel="0" collapsed="false">
      <c r="A78" s="19"/>
      <c r="B78" s="19"/>
      <c r="C78" s="19"/>
      <c r="D78" s="19"/>
      <c r="E78" s="20"/>
      <c r="F78" s="20"/>
      <c r="G78" s="20"/>
      <c r="H78" s="20"/>
      <c r="I78" s="21"/>
      <c r="J78" s="22" t="str">
        <f aca="false">IFERROR(IF(AND(E78&lt;&gt;"",F78&lt;&gt;"",I78&lt;&gt;""),ABS(E78-F78)*I78,""),("))))</f>
        <v/>
      </c>
      <c r="K78" s="22" t="str">
        <f aca="false">IFERROR(IF(AND(E78&lt;&gt;"",H78&lt;&gt;"",I78&lt;&gt;""),IF(D78="Short",(E78-H78)*I78,(H78-E78)*I78),""),("))))</f>
        <v/>
      </c>
      <c r="L78" s="23" t="str">
        <f aca="false">IFERROR(IF(AND(E78&lt;&gt;"",H78&lt;&gt;""),IF(D78="Short",(E78-H78)/E78,(H78-E78)/E78),""),("))))</f>
        <v/>
      </c>
      <c r="M78" s="24" t="str">
        <f aca="false">IFERROR(IF(AND(K78&lt;&gt;"",J78&lt;&gt;"",J78&lt;&gt;0),K78/J78,""),("))))</f>
        <v/>
      </c>
      <c r="N78" s="25" t="str">
        <f aca="false">IFERROR(IF(K78="","",IF(K78&gt;0,"Win",IF(K78&lt;0,"Loss","BE"))),("))))</f>
        <v/>
      </c>
      <c r="O78" s="19"/>
      <c r="P78" s="19"/>
      <c r="Q78" s="19"/>
      <c r="R78" s="19"/>
      <c r="S78" s="26"/>
    </row>
    <row r="79" customFormat="false" ht="18" hidden="false" customHeight="true" outlineLevel="0" collapsed="false">
      <c r="A79" s="11"/>
      <c r="B79" s="11"/>
      <c r="C79" s="11"/>
      <c r="D79" s="11"/>
      <c r="E79" s="12"/>
      <c r="F79" s="12"/>
      <c r="G79" s="12"/>
      <c r="H79" s="12"/>
      <c r="I79" s="13"/>
      <c r="J79" s="14" t="str">
        <f aca="false">IFERROR(IF(AND(E79&lt;&gt;"",F79&lt;&gt;"",I79&lt;&gt;""),ABS(E79-F79)*I79,""),("))))</f>
        <v/>
      </c>
      <c r="K79" s="14" t="str">
        <f aca="false">IFERROR(IF(AND(E79&lt;&gt;"",H79&lt;&gt;"",I79&lt;&gt;""),IF(D79="Short",(E79-H79)*I79,(H79-E79)*I79),""),("))))</f>
        <v/>
      </c>
      <c r="L79" s="15" t="str">
        <f aca="false">IFERROR(IF(AND(E79&lt;&gt;"",H79&lt;&gt;""),IF(D79="Short",(E79-H79)/E79,(H79-E79)/E79),""),("))))</f>
        <v/>
      </c>
      <c r="M79" s="16" t="str">
        <f aca="false">IFERROR(IF(AND(K79&lt;&gt;"",J79&lt;&gt;"",J79&lt;&gt;0),K79/J79,""),("))))</f>
        <v/>
      </c>
      <c r="N79" s="17" t="str">
        <f aca="false">IFERROR(IF(K79="","",IF(K79&gt;0,"Win",IF(K79&lt;0,"Loss","BE"))),("))))</f>
        <v/>
      </c>
      <c r="O79" s="11"/>
      <c r="P79" s="11"/>
      <c r="Q79" s="11"/>
      <c r="R79" s="11"/>
      <c r="S79" s="18"/>
    </row>
    <row r="80" customFormat="false" ht="18" hidden="false" customHeight="true" outlineLevel="0" collapsed="false">
      <c r="A80" s="19"/>
      <c r="B80" s="19"/>
      <c r="C80" s="19"/>
      <c r="D80" s="19"/>
      <c r="E80" s="20"/>
      <c r="F80" s="20"/>
      <c r="G80" s="20"/>
      <c r="H80" s="20"/>
      <c r="I80" s="21"/>
      <c r="J80" s="22" t="str">
        <f aca="false">IFERROR(IF(AND(E80&lt;&gt;"",F80&lt;&gt;"",I80&lt;&gt;""),ABS(E80-F80)*I80,""),("))))</f>
        <v/>
      </c>
      <c r="K80" s="22" t="str">
        <f aca="false">IFERROR(IF(AND(E80&lt;&gt;"",H80&lt;&gt;"",I80&lt;&gt;""),IF(D80="Short",(E80-H80)*I80,(H80-E80)*I80),""),("))))</f>
        <v/>
      </c>
      <c r="L80" s="23" t="str">
        <f aca="false">IFERROR(IF(AND(E80&lt;&gt;"",H80&lt;&gt;""),IF(D80="Short",(E80-H80)/E80,(H80-E80)/E80),""),("))))</f>
        <v/>
      </c>
      <c r="M80" s="24" t="str">
        <f aca="false">IFERROR(IF(AND(K80&lt;&gt;"",J80&lt;&gt;"",J80&lt;&gt;0),K80/J80,""),("))))</f>
        <v/>
      </c>
      <c r="N80" s="25" t="str">
        <f aca="false">IFERROR(IF(K80="","",IF(K80&gt;0,"Win",IF(K80&lt;0,"Loss","BE"))),("))))</f>
        <v/>
      </c>
      <c r="O80" s="19"/>
      <c r="P80" s="19"/>
      <c r="Q80" s="19"/>
      <c r="R80" s="19"/>
      <c r="S80" s="26"/>
    </row>
    <row r="81" customFormat="false" ht="18" hidden="false" customHeight="true" outlineLevel="0" collapsed="false">
      <c r="A81" s="11"/>
      <c r="B81" s="11"/>
      <c r="C81" s="11"/>
      <c r="D81" s="11"/>
      <c r="E81" s="12"/>
      <c r="F81" s="12"/>
      <c r="G81" s="12"/>
      <c r="H81" s="12"/>
      <c r="I81" s="13"/>
      <c r="J81" s="14" t="str">
        <f aca="false">IFERROR(IF(AND(E81&lt;&gt;"",F81&lt;&gt;"",I81&lt;&gt;""),ABS(E81-F81)*I81,""),("))))</f>
        <v/>
      </c>
      <c r="K81" s="14" t="str">
        <f aca="false">IFERROR(IF(AND(E81&lt;&gt;"",H81&lt;&gt;"",I81&lt;&gt;""),IF(D81="Short",(E81-H81)*I81,(H81-E81)*I81),""),("))))</f>
        <v/>
      </c>
      <c r="L81" s="15" t="str">
        <f aca="false">IFERROR(IF(AND(E81&lt;&gt;"",H81&lt;&gt;""),IF(D81="Short",(E81-H81)/E81,(H81-E81)/E81),""),("))))</f>
        <v/>
      </c>
      <c r="M81" s="16" t="str">
        <f aca="false">IFERROR(IF(AND(K81&lt;&gt;"",J81&lt;&gt;"",J81&lt;&gt;0),K81/J81,""),("))))</f>
        <v/>
      </c>
      <c r="N81" s="17" t="str">
        <f aca="false">IFERROR(IF(K81="","",IF(K81&gt;0,"Win",IF(K81&lt;0,"Loss","BE"))),("))))</f>
        <v/>
      </c>
      <c r="O81" s="11"/>
      <c r="P81" s="11"/>
      <c r="Q81" s="11"/>
      <c r="R81" s="11"/>
      <c r="S81" s="18"/>
    </row>
    <row r="82" customFormat="false" ht="18" hidden="false" customHeight="true" outlineLevel="0" collapsed="false">
      <c r="A82" s="19"/>
      <c r="B82" s="19"/>
      <c r="C82" s="19"/>
      <c r="D82" s="19"/>
      <c r="E82" s="20"/>
      <c r="F82" s="20"/>
      <c r="G82" s="20"/>
      <c r="H82" s="20"/>
      <c r="I82" s="21"/>
      <c r="J82" s="22" t="str">
        <f aca="false">IFERROR(IF(AND(E82&lt;&gt;"",F82&lt;&gt;"",I82&lt;&gt;""),ABS(E82-F82)*I82,""),("))))</f>
        <v/>
      </c>
      <c r="K82" s="22" t="str">
        <f aca="false">IFERROR(IF(AND(E82&lt;&gt;"",H82&lt;&gt;"",I82&lt;&gt;""),IF(D82="Short",(E82-H82)*I82,(H82-E82)*I82),""),("))))</f>
        <v/>
      </c>
      <c r="L82" s="23" t="str">
        <f aca="false">IFERROR(IF(AND(E82&lt;&gt;"",H82&lt;&gt;""),IF(D82="Short",(E82-H82)/E82,(H82-E82)/E82),""),("))))</f>
        <v/>
      </c>
      <c r="M82" s="24" t="str">
        <f aca="false">IFERROR(IF(AND(K82&lt;&gt;"",J82&lt;&gt;"",J82&lt;&gt;0),K82/J82,""),("))))</f>
        <v/>
      </c>
      <c r="N82" s="25" t="str">
        <f aca="false">IFERROR(IF(K82="","",IF(K82&gt;0,"Win",IF(K82&lt;0,"Loss","BE"))),("))))</f>
        <v/>
      </c>
      <c r="O82" s="19"/>
      <c r="P82" s="19"/>
      <c r="Q82" s="19"/>
      <c r="R82" s="19"/>
      <c r="S82" s="26"/>
    </row>
    <row r="83" customFormat="false" ht="18" hidden="false" customHeight="true" outlineLevel="0" collapsed="false">
      <c r="A83" s="11"/>
      <c r="B83" s="11"/>
      <c r="C83" s="11"/>
      <c r="D83" s="11"/>
      <c r="E83" s="12"/>
      <c r="F83" s="12"/>
      <c r="G83" s="12"/>
      <c r="H83" s="12"/>
      <c r="I83" s="13"/>
      <c r="J83" s="14" t="str">
        <f aca="false">IFERROR(IF(AND(E83&lt;&gt;"",F83&lt;&gt;"",I83&lt;&gt;""),ABS(E83-F83)*I83,""),("))))</f>
        <v/>
      </c>
      <c r="K83" s="14" t="str">
        <f aca="false">IFERROR(IF(AND(E83&lt;&gt;"",H83&lt;&gt;"",I83&lt;&gt;""),IF(D83="Short",(E83-H83)*I83,(H83-E83)*I83),""),("))))</f>
        <v/>
      </c>
      <c r="L83" s="15" t="str">
        <f aca="false">IFERROR(IF(AND(E83&lt;&gt;"",H83&lt;&gt;""),IF(D83="Short",(E83-H83)/E83,(H83-E83)/E83),""),("))))</f>
        <v/>
      </c>
      <c r="M83" s="16" t="str">
        <f aca="false">IFERROR(IF(AND(K83&lt;&gt;"",J83&lt;&gt;"",J83&lt;&gt;0),K83/J83,""),("))))</f>
        <v/>
      </c>
      <c r="N83" s="17" t="str">
        <f aca="false">IFERROR(IF(K83="","",IF(K83&gt;0,"Win",IF(K83&lt;0,"Loss","BE"))),("))))</f>
        <v/>
      </c>
      <c r="O83" s="11"/>
      <c r="P83" s="11"/>
      <c r="Q83" s="11"/>
      <c r="R83" s="11"/>
      <c r="S83" s="18"/>
    </row>
    <row r="84" customFormat="false" ht="18" hidden="false" customHeight="true" outlineLevel="0" collapsed="false">
      <c r="A84" s="19"/>
      <c r="B84" s="19"/>
      <c r="C84" s="19"/>
      <c r="D84" s="19"/>
      <c r="E84" s="20"/>
      <c r="F84" s="20"/>
      <c r="G84" s="20"/>
      <c r="H84" s="20"/>
      <c r="I84" s="21"/>
      <c r="J84" s="22" t="str">
        <f aca="false">IFERROR(IF(AND(E84&lt;&gt;"",F84&lt;&gt;"",I84&lt;&gt;""),ABS(E84-F84)*I84,""),("))))</f>
        <v/>
      </c>
      <c r="K84" s="22" t="str">
        <f aca="false">IFERROR(IF(AND(E84&lt;&gt;"",H84&lt;&gt;"",I84&lt;&gt;""),IF(D84="Short",(E84-H84)*I84,(H84-E84)*I84),""),("))))</f>
        <v/>
      </c>
      <c r="L84" s="23" t="str">
        <f aca="false">IFERROR(IF(AND(E84&lt;&gt;"",H84&lt;&gt;""),IF(D84="Short",(E84-H84)/E84,(H84-E84)/E84),""),("))))</f>
        <v/>
      </c>
      <c r="M84" s="24" t="str">
        <f aca="false">IFERROR(IF(AND(K84&lt;&gt;"",J84&lt;&gt;"",J84&lt;&gt;0),K84/J84,""),("))))</f>
        <v/>
      </c>
      <c r="N84" s="25" t="str">
        <f aca="false">IFERROR(IF(K84="","",IF(K84&gt;0,"Win",IF(K84&lt;0,"Loss","BE"))),("))))</f>
        <v/>
      </c>
      <c r="O84" s="19"/>
      <c r="P84" s="19"/>
      <c r="Q84" s="19"/>
      <c r="R84" s="19"/>
      <c r="S84" s="26"/>
    </row>
    <row r="85" customFormat="false" ht="18" hidden="false" customHeight="true" outlineLevel="0" collapsed="false">
      <c r="A85" s="11"/>
      <c r="B85" s="11"/>
      <c r="C85" s="11"/>
      <c r="D85" s="11"/>
      <c r="E85" s="12"/>
      <c r="F85" s="12"/>
      <c r="G85" s="12"/>
      <c r="H85" s="12"/>
      <c r="I85" s="13"/>
      <c r="J85" s="14" t="str">
        <f aca="false">IFERROR(IF(AND(E85&lt;&gt;"",F85&lt;&gt;"",I85&lt;&gt;""),ABS(E85-F85)*I85,""),("))))</f>
        <v/>
      </c>
      <c r="K85" s="14" t="str">
        <f aca="false">IFERROR(IF(AND(E85&lt;&gt;"",H85&lt;&gt;"",I85&lt;&gt;""),IF(D85="Short",(E85-H85)*I85,(H85-E85)*I85),""),("))))</f>
        <v/>
      </c>
      <c r="L85" s="15" t="str">
        <f aca="false">IFERROR(IF(AND(E85&lt;&gt;"",H85&lt;&gt;""),IF(D85="Short",(E85-H85)/E85,(H85-E85)/E85),""),("))))</f>
        <v/>
      </c>
      <c r="M85" s="16" t="str">
        <f aca="false">IFERROR(IF(AND(K85&lt;&gt;"",J85&lt;&gt;"",J85&lt;&gt;0),K85/J85,""),("))))</f>
        <v/>
      </c>
      <c r="N85" s="17" t="str">
        <f aca="false">IFERROR(IF(K85="","",IF(K85&gt;0,"Win",IF(K85&lt;0,"Loss","BE"))),("))))</f>
        <v/>
      </c>
      <c r="O85" s="11"/>
      <c r="P85" s="11"/>
      <c r="Q85" s="11"/>
      <c r="R85" s="11"/>
      <c r="S85" s="18"/>
    </row>
    <row r="86" customFormat="false" ht="18" hidden="false" customHeight="true" outlineLevel="0" collapsed="false">
      <c r="A86" s="19"/>
      <c r="B86" s="19"/>
      <c r="C86" s="19"/>
      <c r="D86" s="19"/>
      <c r="E86" s="20"/>
      <c r="F86" s="20"/>
      <c r="G86" s="20"/>
      <c r="H86" s="20"/>
      <c r="I86" s="21"/>
      <c r="J86" s="22" t="str">
        <f aca="false">IFERROR(IF(AND(E86&lt;&gt;"",F86&lt;&gt;"",I86&lt;&gt;""),ABS(E86-F86)*I86,""),("))))</f>
        <v/>
      </c>
      <c r="K86" s="22" t="str">
        <f aca="false">IFERROR(IF(AND(E86&lt;&gt;"",H86&lt;&gt;"",I86&lt;&gt;""),IF(D86="Short",(E86-H86)*I86,(H86-E86)*I86),""),("))))</f>
        <v/>
      </c>
      <c r="L86" s="23" t="str">
        <f aca="false">IFERROR(IF(AND(E86&lt;&gt;"",H86&lt;&gt;""),IF(D86="Short",(E86-H86)/E86,(H86-E86)/E86),""),("))))</f>
        <v/>
      </c>
      <c r="M86" s="24" t="str">
        <f aca="false">IFERROR(IF(AND(K86&lt;&gt;"",J86&lt;&gt;"",J86&lt;&gt;0),K86/J86,""),("))))</f>
        <v/>
      </c>
      <c r="N86" s="25" t="str">
        <f aca="false">IFERROR(IF(K86="","",IF(K86&gt;0,"Win",IF(K86&lt;0,"Loss","BE"))),("))))</f>
        <v/>
      </c>
      <c r="O86" s="19"/>
      <c r="P86" s="19"/>
      <c r="Q86" s="19"/>
      <c r="R86" s="19"/>
      <c r="S86" s="26"/>
    </row>
    <row r="87" customFormat="false" ht="18" hidden="false" customHeight="true" outlineLevel="0" collapsed="false">
      <c r="A87" s="11"/>
      <c r="B87" s="11"/>
      <c r="C87" s="11"/>
      <c r="D87" s="11"/>
      <c r="E87" s="12"/>
      <c r="F87" s="12"/>
      <c r="G87" s="12"/>
      <c r="H87" s="12"/>
      <c r="I87" s="13"/>
      <c r="J87" s="14" t="str">
        <f aca="false">IFERROR(IF(AND(E87&lt;&gt;"",F87&lt;&gt;"",I87&lt;&gt;""),ABS(E87-F87)*I87,""),("))))</f>
        <v/>
      </c>
      <c r="K87" s="14" t="str">
        <f aca="false">IFERROR(IF(AND(E87&lt;&gt;"",H87&lt;&gt;"",I87&lt;&gt;""),IF(D87="Short",(E87-H87)*I87,(H87-E87)*I87),""),("))))</f>
        <v/>
      </c>
      <c r="L87" s="15" t="str">
        <f aca="false">IFERROR(IF(AND(E87&lt;&gt;"",H87&lt;&gt;""),IF(D87="Short",(E87-H87)/E87,(H87-E87)/E87),""),("))))</f>
        <v/>
      </c>
      <c r="M87" s="16" t="str">
        <f aca="false">IFERROR(IF(AND(K87&lt;&gt;"",J87&lt;&gt;"",J87&lt;&gt;0),K87/J87,""),("))))</f>
        <v/>
      </c>
      <c r="N87" s="17" t="str">
        <f aca="false">IFERROR(IF(K87="","",IF(K87&gt;0,"Win",IF(K87&lt;0,"Loss","BE"))),("))))</f>
        <v/>
      </c>
      <c r="O87" s="11"/>
      <c r="P87" s="11"/>
      <c r="Q87" s="11"/>
      <c r="R87" s="11"/>
      <c r="S87" s="18"/>
    </row>
    <row r="88" customFormat="false" ht="18" hidden="false" customHeight="true" outlineLevel="0" collapsed="false">
      <c r="A88" s="19"/>
      <c r="B88" s="19"/>
      <c r="C88" s="19"/>
      <c r="D88" s="19"/>
      <c r="E88" s="20"/>
      <c r="F88" s="20"/>
      <c r="G88" s="20"/>
      <c r="H88" s="20"/>
      <c r="I88" s="21"/>
      <c r="J88" s="22" t="str">
        <f aca="false">IFERROR(IF(AND(E88&lt;&gt;"",F88&lt;&gt;"",I88&lt;&gt;""),ABS(E88-F88)*I88,""),("))))</f>
        <v/>
      </c>
      <c r="K88" s="22" t="str">
        <f aca="false">IFERROR(IF(AND(E88&lt;&gt;"",H88&lt;&gt;"",I88&lt;&gt;""),IF(D88="Short",(E88-H88)*I88,(H88-E88)*I88),""),("))))</f>
        <v/>
      </c>
      <c r="L88" s="23" t="str">
        <f aca="false">IFERROR(IF(AND(E88&lt;&gt;"",H88&lt;&gt;""),IF(D88="Short",(E88-H88)/E88,(H88-E88)/E88),""),("))))</f>
        <v/>
      </c>
      <c r="M88" s="24" t="str">
        <f aca="false">IFERROR(IF(AND(K88&lt;&gt;"",J88&lt;&gt;"",J88&lt;&gt;0),K88/J88,""),("))))</f>
        <v/>
      </c>
      <c r="N88" s="25" t="str">
        <f aca="false">IFERROR(IF(K88="","",IF(K88&gt;0,"Win",IF(K88&lt;0,"Loss","BE"))),("))))</f>
        <v/>
      </c>
      <c r="O88" s="19"/>
      <c r="P88" s="19"/>
      <c r="Q88" s="19"/>
      <c r="R88" s="19"/>
      <c r="S88" s="26"/>
    </row>
    <row r="89" customFormat="false" ht="18" hidden="false" customHeight="true" outlineLevel="0" collapsed="false">
      <c r="A89" s="11"/>
      <c r="B89" s="11"/>
      <c r="C89" s="11"/>
      <c r="D89" s="11"/>
      <c r="E89" s="12"/>
      <c r="F89" s="12"/>
      <c r="G89" s="12"/>
      <c r="H89" s="12"/>
      <c r="I89" s="13"/>
      <c r="J89" s="14" t="str">
        <f aca="false">IFERROR(IF(AND(E89&lt;&gt;"",F89&lt;&gt;"",I89&lt;&gt;""),ABS(E89-F89)*I89,""),("))))</f>
        <v/>
      </c>
      <c r="K89" s="14" t="str">
        <f aca="false">IFERROR(IF(AND(E89&lt;&gt;"",H89&lt;&gt;"",I89&lt;&gt;""),IF(D89="Short",(E89-H89)*I89,(H89-E89)*I89),""),("))))</f>
        <v/>
      </c>
      <c r="L89" s="15" t="str">
        <f aca="false">IFERROR(IF(AND(E89&lt;&gt;"",H89&lt;&gt;""),IF(D89="Short",(E89-H89)/E89,(H89-E89)/E89),""),("))))</f>
        <v/>
      </c>
      <c r="M89" s="16" t="str">
        <f aca="false">IFERROR(IF(AND(K89&lt;&gt;"",J89&lt;&gt;"",J89&lt;&gt;0),K89/J89,""),("))))</f>
        <v/>
      </c>
      <c r="N89" s="17" t="str">
        <f aca="false">IFERROR(IF(K89="","",IF(K89&gt;0,"Win",IF(K89&lt;0,"Loss","BE"))),("))))</f>
        <v/>
      </c>
      <c r="O89" s="11"/>
      <c r="P89" s="11"/>
      <c r="Q89" s="11"/>
      <c r="R89" s="11"/>
      <c r="S89" s="18"/>
    </row>
    <row r="90" customFormat="false" ht="18" hidden="false" customHeight="true" outlineLevel="0" collapsed="false">
      <c r="A90" s="19"/>
      <c r="B90" s="19"/>
      <c r="C90" s="19"/>
      <c r="D90" s="19"/>
      <c r="E90" s="20"/>
      <c r="F90" s="20"/>
      <c r="G90" s="20"/>
      <c r="H90" s="20"/>
      <c r="I90" s="21"/>
      <c r="J90" s="22" t="str">
        <f aca="false">IFERROR(IF(AND(E90&lt;&gt;"",F90&lt;&gt;"",I90&lt;&gt;""),ABS(E90-F90)*I90,""),("))))</f>
        <v/>
      </c>
      <c r="K90" s="22" t="str">
        <f aca="false">IFERROR(IF(AND(E90&lt;&gt;"",H90&lt;&gt;"",I90&lt;&gt;""),IF(D90="Short",(E90-H90)*I90,(H90-E90)*I90),""),("))))</f>
        <v/>
      </c>
      <c r="L90" s="23" t="str">
        <f aca="false">IFERROR(IF(AND(E90&lt;&gt;"",H90&lt;&gt;""),IF(D90="Short",(E90-H90)/E90,(H90-E90)/E90),""),("))))</f>
        <v/>
      </c>
      <c r="M90" s="24" t="str">
        <f aca="false">IFERROR(IF(AND(K90&lt;&gt;"",J90&lt;&gt;"",J90&lt;&gt;0),K90/J90,""),("))))</f>
        <v/>
      </c>
      <c r="N90" s="25" t="str">
        <f aca="false">IFERROR(IF(K90="","",IF(K90&gt;0,"Win",IF(K90&lt;0,"Loss","BE"))),("))))</f>
        <v/>
      </c>
      <c r="O90" s="19"/>
      <c r="P90" s="19"/>
      <c r="Q90" s="19"/>
      <c r="R90" s="19"/>
      <c r="S90" s="26"/>
    </row>
    <row r="91" customFormat="false" ht="18" hidden="false" customHeight="true" outlineLevel="0" collapsed="false">
      <c r="A91" s="11"/>
      <c r="B91" s="11"/>
      <c r="C91" s="11"/>
      <c r="D91" s="11"/>
      <c r="E91" s="12"/>
      <c r="F91" s="12"/>
      <c r="G91" s="12"/>
      <c r="H91" s="12"/>
      <c r="I91" s="13"/>
      <c r="J91" s="14" t="str">
        <f aca="false">IFERROR(IF(AND(E91&lt;&gt;"",F91&lt;&gt;"",I91&lt;&gt;""),ABS(E91-F91)*I91,""),("))))</f>
        <v/>
      </c>
      <c r="K91" s="14" t="str">
        <f aca="false">IFERROR(IF(AND(E91&lt;&gt;"",H91&lt;&gt;"",I91&lt;&gt;""),IF(D91="Short",(E91-H91)*I91,(H91-E91)*I91),""),("))))</f>
        <v/>
      </c>
      <c r="L91" s="15" t="str">
        <f aca="false">IFERROR(IF(AND(E91&lt;&gt;"",H91&lt;&gt;""),IF(D91="Short",(E91-H91)/E91,(H91-E91)/E91),""),("))))</f>
        <v/>
      </c>
      <c r="M91" s="16" t="str">
        <f aca="false">IFERROR(IF(AND(K91&lt;&gt;"",J91&lt;&gt;"",J91&lt;&gt;0),K91/J91,""),("))))</f>
        <v/>
      </c>
      <c r="N91" s="17" t="str">
        <f aca="false">IFERROR(IF(K91="","",IF(K91&gt;0,"Win",IF(K91&lt;0,"Loss","BE"))),("))))</f>
        <v/>
      </c>
      <c r="O91" s="11"/>
      <c r="P91" s="11"/>
      <c r="Q91" s="11"/>
      <c r="R91" s="11"/>
      <c r="S91" s="18"/>
    </row>
    <row r="92" customFormat="false" ht="18" hidden="false" customHeight="true" outlineLevel="0" collapsed="false">
      <c r="A92" s="19"/>
      <c r="B92" s="19"/>
      <c r="C92" s="19"/>
      <c r="D92" s="19"/>
      <c r="E92" s="20"/>
      <c r="F92" s="20"/>
      <c r="G92" s="20"/>
      <c r="H92" s="20"/>
      <c r="I92" s="21"/>
      <c r="J92" s="22" t="str">
        <f aca="false">IFERROR(IF(AND(E92&lt;&gt;"",F92&lt;&gt;"",I92&lt;&gt;""),ABS(E92-F92)*I92,""),("))))</f>
        <v/>
      </c>
      <c r="K92" s="22" t="str">
        <f aca="false">IFERROR(IF(AND(E92&lt;&gt;"",H92&lt;&gt;"",I92&lt;&gt;""),IF(D92="Short",(E92-H92)*I92,(H92-E92)*I92),""),("))))</f>
        <v/>
      </c>
      <c r="L92" s="23" t="str">
        <f aca="false">IFERROR(IF(AND(E92&lt;&gt;"",H92&lt;&gt;""),IF(D92="Short",(E92-H92)/E92,(H92-E92)/E92),""),("))))</f>
        <v/>
      </c>
      <c r="M92" s="24" t="str">
        <f aca="false">IFERROR(IF(AND(K92&lt;&gt;"",J92&lt;&gt;"",J92&lt;&gt;0),K92/J92,""),("))))</f>
        <v/>
      </c>
      <c r="N92" s="25" t="str">
        <f aca="false">IFERROR(IF(K92="","",IF(K92&gt;0,"Win",IF(K92&lt;0,"Loss","BE"))),("))))</f>
        <v/>
      </c>
      <c r="O92" s="19"/>
      <c r="P92" s="19"/>
      <c r="Q92" s="19"/>
      <c r="R92" s="19"/>
      <c r="S92" s="26"/>
    </row>
    <row r="93" customFormat="false" ht="18" hidden="false" customHeight="true" outlineLevel="0" collapsed="false">
      <c r="A93" s="11"/>
      <c r="B93" s="11"/>
      <c r="C93" s="11"/>
      <c r="D93" s="11"/>
      <c r="E93" s="12"/>
      <c r="F93" s="12"/>
      <c r="G93" s="12"/>
      <c r="H93" s="12"/>
      <c r="I93" s="13"/>
      <c r="J93" s="14" t="str">
        <f aca="false">IFERROR(IF(AND(E93&lt;&gt;"",F93&lt;&gt;"",I93&lt;&gt;""),ABS(E93-F93)*I93,""),("))))</f>
        <v/>
      </c>
      <c r="K93" s="14" t="str">
        <f aca="false">IFERROR(IF(AND(E93&lt;&gt;"",H93&lt;&gt;"",I93&lt;&gt;""),IF(D93="Short",(E93-H93)*I93,(H93-E93)*I93),""),("))))</f>
        <v/>
      </c>
      <c r="L93" s="15" t="str">
        <f aca="false">IFERROR(IF(AND(E93&lt;&gt;"",H93&lt;&gt;""),IF(D93="Short",(E93-H93)/E93,(H93-E93)/E93),""),("))))</f>
        <v/>
      </c>
      <c r="M93" s="16" t="str">
        <f aca="false">IFERROR(IF(AND(K93&lt;&gt;"",J93&lt;&gt;"",J93&lt;&gt;0),K93/J93,""),("))))</f>
        <v/>
      </c>
      <c r="N93" s="17" t="str">
        <f aca="false">IFERROR(IF(K93="","",IF(K93&gt;0,"Win",IF(K93&lt;0,"Loss","BE"))),("))))</f>
        <v/>
      </c>
      <c r="O93" s="11"/>
      <c r="P93" s="11"/>
      <c r="Q93" s="11"/>
      <c r="R93" s="11"/>
      <c r="S93" s="18"/>
    </row>
    <row r="94" customFormat="false" ht="18" hidden="false" customHeight="true" outlineLevel="0" collapsed="false">
      <c r="A94" s="19"/>
      <c r="B94" s="19"/>
      <c r="C94" s="19"/>
      <c r="D94" s="19"/>
      <c r="E94" s="20"/>
      <c r="F94" s="20"/>
      <c r="G94" s="20"/>
      <c r="H94" s="20"/>
      <c r="I94" s="21"/>
      <c r="J94" s="22" t="str">
        <f aca="false">IFERROR(IF(AND(E94&lt;&gt;"",F94&lt;&gt;"",I94&lt;&gt;""),ABS(E94-F94)*I94,""),("))))</f>
        <v/>
      </c>
      <c r="K94" s="22" t="str">
        <f aca="false">IFERROR(IF(AND(E94&lt;&gt;"",H94&lt;&gt;"",I94&lt;&gt;""),IF(D94="Short",(E94-H94)*I94,(H94-E94)*I94),""),("))))</f>
        <v/>
      </c>
      <c r="L94" s="23" t="str">
        <f aca="false">IFERROR(IF(AND(E94&lt;&gt;"",H94&lt;&gt;""),IF(D94="Short",(E94-H94)/E94,(H94-E94)/E94),""),("))))</f>
        <v/>
      </c>
      <c r="M94" s="24" t="str">
        <f aca="false">IFERROR(IF(AND(K94&lt;&gt;"",J94&lt;&gt;"",J94&lt;&gt;0),K94/J94,""),("))))</f>
        <v/>
      </c>
      <c r="N94" s="25" t="str">
        <f aca="false">IFERROR(IF(K94="","",IF(K94&gt;0,"Win",IF(K94&lt;0,"Loss","BE"))),("))))</f>
        <v/>
      </c>
      <c r="O94" s="19"/>
      <c r="P94" s="19"/>
      <c r="Q94" s="19"/>
      <c r="R94" s="19"/>
      <c r="S94" s="26"/>
    </row>
    <row r="95" customFormat="false" ht="18" hidden="false" customHeight="true" outlineLevel="0" collapsed="false">
      <c r="A95" s="11"/>
      <c r="B95" s="11"/>
      <c r="C95" s="11"/>
      <c r="D95" s="11"/>
      <c r="E95" s="12"/>
      <c r="F95" s="12"/>
      <c r="G95" s="12"/>
      <c r="H95" s="12"/>
      <c r="I95" s="13"/>
      <c r="J95" s="14" t="str">
        <f aca="false">IFERROR(IF(AND(E95&lt;&gt;"",F95&lt;&gt;"",I95&lt;&gt;""),ABS(E95-F95)*I95,""),("))))</f>
        <v/>
      </c>
      <c r="K95" s="14" t="str">
        <f aca="false">IFERROR(IF(AND(E95&lt;&gt;"",H95&lt;&gt;"",I95&lt;&gt;""),IF(D95="Short",(E95-H95)*I95,(H95-E95)*I95),""),("))))</f>
        <v/>
      </c>
      <c r="L95" s="15" t="str">
        <f aca="false">IFERROR(IF(AND(E95&lt;&gt;"",H95&lt;&gt;""),IF(D95="Short",(E95-H95)/E95,(H95-E95)/E95),""),("))))</f>
        <v/>
      </c>
      <c r="M95" s="16" t="str">
        <f aca="false">IFERROR(IF(AND(K95&lt;&gt;"",J95&lt;&gt;"",J95&lt;&gt;0),K95/J95,""),("))))</f>
        <v/>
      </c>
      <c r="N95" s="17" t="str">
        <f aca="false">IFERROR(IF(K95="","",IF(K95&gt;0,"Win",IF(K95&lt;0,"Loss","BE"))),("))))</f>
        <v/>
      </c>
      <c r="O95" s="11"/>
      <c r="P95" s="11"/>
      <c r="Q95" s="11"/>
      <c r="R95" s="11"/>
      <c r="S95" s="18"/>
    </row>
    <row r="96" customFormat="false" ht="18" hidden="false" customHeight="true" outlineLevel="0" collapsed="false">
      <c r="A96" s="19"/>
      <c r="B96" s="19"/>
      <c r="C96" s="19"/>
      <c r="D96" s="19"/>
      <c r="E96" s="20"/>
      <c r="F96" s="20"/>
      <c r="G96" s="20"/>
      <c r="H96" s="20"/>
      <c r="I96" s="21"/>
      <c r="J96" s="22" t="str">
        <f aca="false">IFERROR(IF(AND(E96&lt;&gt;"",F96&lt;&gt;"",I96&lt;&gt;""),ABS(E96-F96)*I96,""),("))))</f>
        <v/>
      </c>
      <c r="K96" s="22" t="str">
        <f aca="false">IFERROR(IF(AND(E96&lt;&gt;"",H96&lt;&gt;"",I96&lt;&gt;""),IF(D96="Short",(E96-H96)*I96,(H96-E96)*I96),""),("))))</f>
        <v/>
      </c>
      <c r="L96" s="23" t="str">
        <f aca="false">IFERROR(IF(AND(E96&lt;&gt;"",H96&lt;&gt;""),IF(D96="Short",(E96-H96)/E96,(H96-E96)/E96),""),("))))</f>
        <v/>
      </c>
      <c r="M96" s="24" t="str">
        <f aca="false">IFERROR(IF(AND(K96&lt;&gt;"",J96&lt;&gt;"",J96&lt;&gt;0),K96/J96,""),("))))</f>
        <v/>
      </c>
      <c r="N96" s="25" t="str">
        <f aca="false">IFERROR(IF(K96="","",IF(K96&gt;0,"Win",IF(K96&lt;0,"Loss","BE"))),("))))</f>
        <v/>
      </c>
      <c r="O96" s="19"/>
      <c r="P96" s="19"/>
      <c r="Q96" s="19"/>
      <c r="R96" s="19"/>
      <c r="S96" s="26"/>
    </row>
    <row r="97" customFormat="false" ht="18" hidden="false" customHeight="true" outlineLevel="0" collapsed="false">
      <c r="A97" s="11"/>
      <c r="B97" s="11"/>
      <c r="C97" s="11"/>
      <c r="D97" s="11"/>
      <c r="E97" s="12"/>
      <c r="F97" s="12"/>
      <c r="G97" s="12"/>
      <c r="H97" s="12"/>
      <c r="I97" s="13"/>
      <c r="J97" s="14" t="str">
        <f aca="false">IFERROR(IF(AND(E97&lt;&gt;"",F97&lt;&gt;"",I97&lt;&gt;""),ABS(E97-F97)*I97,""),("))))</f>
        <v/>
      </c>
      <c r="K97" s="14" t="str">
        <f aca="false">IFERROR(IF(AND(E97&lt;&gt;"",H97&lt;&gt;"",I97&lt;&gt;""),IF(D97="Short",(E97-H97)*I97,(H97-E97)*I97),""),("))))</f>
        <v/>
      </c>
      <c r="L97" s="15" t="str">
        <f aca="false">IFERROR(IF(AND(E97&lt;&gt;"",H97&lt;&gt;""),IF(D97="Short",(E97-H97)/E97,(H97-E97)/E97),""),("))))</f>
        <v/>
      </c>
      <c r="M97" s="16" t="str">
        <f aca="false">IFERROR(IF(AND(K97&lt;&gt;"",J97&lt;&gt;"",J97&lt;&gt;0),K97/J97,""),("))))</f>
        <v/>
      </c>
      <c r="N97" s="17" t="str">
        <f aca="false">IFERROR(IF(K97="","",IF(K97&gt;0,"Win",IF(K97&lt;0,"Loss","BE"))),("))))</f>
        <v/>
      </c>
      <c r="O97" s="11"/>
      <c r="P97" s="11"/>
      <c r="Q97" s="11"/>
      <c r="R97" s="11"/>
      <c r="S97" s="18"/>
    </row>
    <row r="98" customFormat="false" ht="18" hidden="false" customHeight="true" outlineLevel="0" collapsed="false">
      <c r="A98" s="19"/>
      <c r="B98" s="19"/>
      <c r="C98" s="19"/>
      <c r="D98" s="19"/>
      <c r="E98" s="20"/>
      <c r="F98" s="20"/>
      <c r="G98" s="20"/>
      <c r="H98" s="20"/>
      <c r="I98" s="21"/>
      <c r="J98" s="22" t="str">
        <f aca="false">IFERROR(IF(AND(E98&lt;&gt;"",F98&lt;&gt;"",I98&lt;&gt;""),ABS(E98-F98)*I98,""),("))))</f>
        <v/>
      </c>
      <c r="K98" s="22" t="str">
        <f aca="false">IFERROR(IF(AND(E98&lt;&gt;"",H98&lt;&gt;"",I98&lt;&gt;""),IF(D98="Short",(E98-H98)*I98,(H98-E98)*I98),""),("))))</f>
        <v/>
      </c>
      <c r="L98" s="23" t="str">
        <f aca="false">IFERROR(IF(AND(E98&lt;&gt;"",H98&lt;&gt;""),IF(D98="Short",(E98-H98)/E98,(H98-E98)/E98),""),("))))</f>
        <v/>
      </c>
      <c r="M98" s="24" t="str">
        <f aca="false">IFERROR(IF(AND(K98&lt;&gt;"",J98&lt;&gt;"",J98&lt;&gt;0),K98/J98,""),("))))</f>
        <v/>
      </c>
      <c r="N98" s="25" t="str">
        <f aca="false">IFERROR(IF(K98="","",IF(K98&gt;0,"Win",IF(K98&lt;0,"Loss","BE"))),("))))</f>
        <v/>
      </c>
      <c r="O98" s="19"/>
      <c r="P98" s="19"/>
      <c r="Q98" s="19"/>
      <c r="R98" s="19"/>
      <c r="S98" s="26"/>
    </row>
    <row r="99" customFormat="false" ht="18" hidden="false" customHeight="true" outlineLevel="0" collapsed="false">
      <c r="A99" s="11"/>
      <c r="B99" s="11"/>
      <c r="C99" s="11"/>
      <c r="D99" s="11"/>
      <c r="E99" s="12"/>
      <c r="F99" s="12"/>
      <c r="G99" s="12"/>
      <c r="H99" s="12"/>
      <c r="I99" s="13"/>
      <c r="J99" s="14" t="str">
        <f aca="false">IFERROR(IF(AND(E99&lt;&gt;"",F99&lt;&gt;"",I99&lt;&gt;""),ABS(E99-F99)*I99,""),("))))</f>
        <v/>
      </c>
      <c r="K99" s="14" t="str">
        <f aca="false">IFERROR(IF(AND(E99&lt;&gt;"",H99&lt;&gt;"",I99&lt;&gt;""),IF(D99="Short",(E99-H99)*I99,(H99-E99)*I99),""),("))))</f>
        <v/>
      </c>
      <c r="L99" s="15" t="str">
        <f aca="false">IFERROR(IF(AND(E99&lt;&gt;"",H99&lt;&gt;""),IF(D99="Short",(E99-H99)/E99,(H99-E99)/E99),""),("))))</f>
        <v/>
      </c>
      <c r="M99" s="16" t="str">
        <f aca="false">IFERROR(IF(AND(K99&lt;&gt;"",J99&lt;&gt;"",J99&lt;&gt;0),K99/J99,""),("))))</f>
        <v/>
      </c>
      <c r="N99" s="17" t="str">
        <f aca="false">IFERROR(IF(K99="","",IF(K99&gt;0,"Win",IF(K99&lt;0,"Loss","BE"))),("))))</f>
        <v/>
      </c>
      <c r="O99" s="11"/>
      <c r="P99" s="11"/>
      <c r="Q99" s="11"/>
      <c r="R99" s="11"/>
      <c r="S99" s="18"/>
    </row>
    <row r="100" customFormat="false" ht="18" hidden="false" customHeight="true" outlineLevel="0" collapsed="false">
      <c r="A100" s="19"/>
      <c r="B100" s="19"/>
      <c r="C100" s="19"/>
      <c r="D100" s="19"/>
      <c r="E100" s="20"/>
      <c r="F100" s="20"/>
      <c r="G100" s="20"/>
      <c r="H100" s="20"/>
      <c r="I100" s="21"/>
      <c r="J100" s="22" t="str">
        <f aca="false">IFERROR(IF(AND(E100&lt;&gt;"",F100&lt;&gt;"",I100&lt;&gt;""),ABS(E100-F100)*I100,""),("))))</f>
        <v/>
      </c>
      <c r="K100" s="22" t="str">
        <f aca="false">IFERROR(IF(AND(E100&lt;&gt;"",H100&lt;&gt;"",I100&lt;&gt;""),IF(D100="Short",(E100-H100)*I100,(H100-E100)*I100),""),("))))</f>
        <v/>
      </c>
      <c r="L100" s="23" t="str">
        <f aca="false">IFERROR(IF(AND(E100&lt;&gt;"",H100&lt;&gt;""),IF(D100="Short",(E100-H100)/E100,(H100-E100)/E100),""),("))))</f>
        <v/>
      </c>
      <c r="M100" s="24" t="str">
        <f aca="false">IFERROR(IF(AND(K100&lt;&gt;"",J100&lt;&gt;"",J100&lt;&gt;0),K100/J100,""),("))))</f>
        <v/>
      </c>
      <c r="N100" s="25" t="str">
        <f aca="false">IFERROR(IF(K100="","",IF(K100&gt;0,"Win",IF(K100&lt;0,"Loss","BE"))),("))))</f>
        <v/>
      </c>
      <c r="O100" s="19"/>
      <c r="P100" s="19"/>
      <c r="Q100" s="19"/>
      <c r="R100" s="19"/>
      <c r="S100" s="26"/>
    </row>
    <row r="101" customFormat="false" ht="18" hidden="false" customHeight="true" outlineLevel="0" collapsed="false">
      <c r="A101" s="11"/>
      <c r="B101" s="11"/>
      <c r="C101" s="11"/>
      <c r="D101" s="11"/>
      <c r="E101" s="12"/>
      <c r="F101" s="12"/>
      <c r="G101" s="12"/>
      <c r="H101" s="12"/>
      <c r="I101" s="13"/>
      <c r="J101" s="14" t="str">
        <f aca="false">IFERROR(IF(AND(E101&lt;&gt;"",F101&lt;&gt;"",I101&lt;&gt;""),ABS(E101-F101)*I101,""),("))))</f>
        <v/>
      </c>
      <c r="K101" s="14" t="str">
        <f aca="false">IFERROR(IF(AND(E101&lt;&gt;"",H101&lt;&gt;"",I101&lt;&gt;""),IF(D101="Short",(E101-H101)*I101,(H101-E101)*I101),""),("))))</f>
        <v/>
      </c>
      <c r="L101" s="15" t="str">
        <f aca="false">IFERROR(IF(AND(E101&lt;&gt;"",H101&lt;&gt;""),IF(D101="Short",(E101-H101)/E101,(H101-E101)/E101),""),("))))</f>
        <v/>
      </c>
      <c r="M101" s="16" t="str">
        <f aca="false">IFERROR(IF(AND(K101&lt;&gt;"",J101&lt;&gt;"",J101&lt;&gt;0),K101/J101,""),("))))</f>
        <v/>
      </c>
      <c r="N101" s="17" t="str">
        <f aca="false">IFERROR(IF(K101="","",IF(K101&gt;0,"Win",IF(K101&lt;0,"Loss","BE"))),("))))</f>
        <v/>
      </c>
      <c r="O101" s="11"/>
      <c r="P101" s="11"/>
      <c r="Q101" s="11"/>
      <c r="R101" s="11"/>
      <c r="S101" s="18"/>
    </row>
    <row r="102" customFormat="false" ht="18" hidden="false" customHeight="true" outlineLevel="0" collapsed="false">
      <c r="A102" s="19"/>
      <c r="B102" s="19"/>
      <c r="C102" s="19"/>
      <c r="D102" s="19"/>
      <c r="E102" s="20"/>
      <c r="F102" s="20"/>
      <c r="G102" s="20"/>
      <c r="H102" s="20"/>
      <c r="I102" s="21"/>
      <c r="J102" s="22" t="str">
        <f aca="false">IFERROR(IF(AND(E102&lt;&gt;"",F102&lt;&gt;"",I102&lt;&gt;""),ABS(E102-F102)*I102,""),("))))</f>
        <v/>
      </c>
      <c r="K102" s="22" t="str">
        <f aca="false">IFERROR(IF(AND(E102&lt;&gt;"",H102&lt;&gt;"",I102&lt;&gt;""),IF(D102="Short",(E102-H102)*I102,(H102-E102)*I102),""),("))))</f>
        <v/>
      </c>
      <c r="L102" s="23" t="str">
        <f aca="false">IFERROR(IF(AND(E102&lt;&gt;"",H102&lt;&gt;""),IF(D102="Short",(E102-H102)/E102,(H102-E102)/E102),""),("))))</f>
        <v/>
      </c>
      <c r="M102" s="24" t="str">
        <f aca="false">IFERROR(IF(AND(K102&lt;&gt;"",J102&lt;&gt;"",J102&lt;&gt;0),K102/J102,""),("))))</f>
        <v/>
      </c>
      <c r="N102" s="25" t="str">
        <f aca="false">IFERROR(IF(K102="","",IF(K102&gt;0,"Win",IF(K102&lt;0,"Loss","BE"))),("))))</f>
        <v/>
      </c>
      <c r="O102" s="19"/>
      <c r="P102" s="19"/>
      <c r="Q102" s="19"/>
      <c r="R102" s="19"/>
      <c r="S102" s="26"/>
    </row>
    <row r="103" customFormat="false" ht="18" hidden="false" customHeight="true" outlineLevel="0" collapsed="false">
      <c r="A103" s="11"/>
      <c r="B103" s="11"/>
      <c r="C103" s="11"/>
      <c r="D103" s="11"/>
      <c r="E103" s="12"/>
      <c r="F103" s="12"/>
      <c r="G103" s="12"/>
      <c r="H103" s="12"/>
      <c r="I103" s="13"/>
      <c r="J103" s="14" t="str">
        <f aca="false">IFERROR(IF(AND(E103&lt;&gt;"",F103&lt;&gt;"",I103&lt;&gt;""),ABS(E103-F103)*I103,""),("))))</f>
        <v/>
      </c>
      <c r="K103" s="14" t="str">
        <f aca="false">IFERROR(IF(AND(E103&lt;&gt;"",H103&lt;&gt;"",I103&lt;&gt;""),IF(D103="Short",(E103-H103)*I103,(H103-E103)*I103),""),("))))</f>
        <v/>
      </c>
      <c r="L103" s="15" t="str">
        <f aca="false">IFERROR(IF(AND(E103&lt;&gt;"",H103&lt;&gt;""),IF(D103="Short",(E103-H103)/E103,(H103-E103)/E103),""),("))))</f>
        <v/>
      </c>
      <c r="M103" s="16" t="str">
        <f aca="false">IFERROR(IF(AND(K103&lt;&gt;"",J103&lt;&gt;"",J103&lt;&gt;0),K103/J103,""),("))))</f>
        <v/>
      </c>
      <c r="N103" s="17" t="str">
        <f aca="false">IFERROR(IF(K103="","",IF(K103&gt;0,"Win",IF(K103&lt;0,"Loss","BE"))),("))))</f>
        <v/>
      </c>
      <c r="O103" s="11"/>
      <c r="P103" s="11"/>
      <c r="Q103" s="11"/>
      <c r="R103" s="11"/>
      <c r="S103" s="18"/>
    </row>
  </sheetData>
  <mergeCells count="2">
    <mergeCell ref="A1:S1"/>
    <mergeCell ref="A2:S2"/>
  </mergeCells>
  <conditionalFormatting sqref="A5:S103">
    <cfRule type="expression" priority="2" aboveAverage="0" equalAverage="0" bottom="0" percent="0" rank="0" text="" dxfId="0">
      <formula>$N5="Win"</formula>
    </cfRule>
    <cfRule type="expression" priority="3" aboveAverage="0" equalAverage="0" bottom="0" percent="0" rank="0" text="" dxfId="1">
      <formula>$N5="Loss"</formula>
    </cfRule>
  </conditionalFormatting>
  <conditionalFormatting sqref="K5:K103">
    <cfRule type="expression" priority="4" aboveAverage="0" equalAverage="0" bottom="0" percent="0" rank="0" text="" dxfId="2">
      <formula>K5&gt;0</formula>
    </cfRule>
    <cfRule type="expression" priority="5" aboveAverage="0" equalAverage="0" bottom="0" percent="0" rank="0" text="" dxfId="3">
      <formula>K5&lt;0</formula>
    </cfRule>
  </conditionalFormatting>
  <conditionalFormatting sqref="M5:M103">
    <cfRule type="expression" priority="6" aboveAverage="0" equalAverage="0" bottom="0" percent="0" rank="0" text="" dxfId="4">
      <formula>M5&gt;0</formula>
    </cfRule>
    <cfRule type="expression" priority="7" aboveAverage="0" equalAverage="0" bottom="0" percent="0" rank="0" text="" dxfId="5">
      <formula>M5&lt;0</formula>
    </cfRule>
  </conditionalFormatting>
  <dataValidations count="6">
    <dataValidation allowBlank="true" errorStyle="stop" operator="between" showDropDown="false" showErrorMessage="false" showInputMessage="false" sqref="C4:C103" type="list">
      <formula1>"Bull Flag,Bear Flag,Gap and Go,First Green Day,Washout Long,IBS Play,Short Squeeze,Ascending Triangle,Descending Triangle,Head and Shoulders,Double Top,Double Bottom,VWAP Reclaim,ORB,Swing Breakout,Other"</formula1>
      <formula2>0</formula2>
    </dataValidation>
    <dataValidation allowBlank="true" errorStyle="stop" operator="between" showDropDown="false" showErrorMessage="false" showInputMessage="false" sqref="D4:D103" type="list">
      <formula1>"Long,Short"</formula1>
      <formula2>0</formula2>
    </dataValidation>
    <dataValidation allowBlank="true" errorStyle="stop" operator="between" showDropDown="false" showErrorMessage="false" showInputMessage="false" sqref="O4:O103" type="list">
      <formula1>"A,B,C,D,F"</formula1>
      <formula2>0</formula2>
    </dataValidation>
    <dataValidation allowBlank="true" errorStyle="stop" operator="between" showDropDown="false" showErrorMessage="false" showInputMessage="false" sqref="P4:P103" type="list">
      <formula1>"Calm,Confident,Anxious,Frustrated,Greedy,Fearful,Bored,Overconfident"</formula1>
      <formula2>0</formula2>
    </dataValidation>
    <dataValidation allowBlank="true" errorStyle="stop" operator="between" showDropDown="false" showErrorMessage="false" showInputMessage="false" sqref="Q4:Q103" type="list">
      <formula1>"Yes,No"</formula1>
      <formula2>0</formula2>
    </dataValidation>
    <dataValidation allowBlank="true" errorStyle="stop" operator="between" showDropDown="false" showErrorMessage="false" showInputMessage="false" sqref="R4:R10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1A"/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4"/>
    <col collapsed="false" customWidth="true" hidden="false" outlineLevel="0" max="7" min="7" style="0" width="24"/>
    <col collapsed="false" customWidth="true" hidden="false" outlineLevel="0" max="8" min="8" style="0" width="16"/>
  </cols>
  <sheetData>
    <row r="1" customFormat="false" ht="42" hidden="false" customHeight="true" outlineLevel="0" collapsed="false">
      <c r="A1" s="1" t="s">
        <v>30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31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27" t="s">
        <v>32</v>
      </c>
      <c r="B4" s="27"/>
      <c r="D4" s="27" t="s">
        <v>33</v>
      </c>
      <c r="E4" s="27"/>
      <c r="G4" s="27" t="s">
        <v>34</v>
      </c>
      <c r="H4" s="27"/>
    </row>
    <row r="5" customFormat="false" ht="25.5" hidden="false" customHeight="true" outlineLevel="0" collapsed="false">
      <c r="A5" s="28" t="s">
        <v>35</v>
      </c>
      <c r="B5" s="29" t="n">
        <f aca="false">COUNTA('Trade Log'!B5:B103)</f>
        <v>0</v>
      </c>
      <c r="D5" s="28" t="s">
        <v>36</v>
      </c>
      <c r="E5" s="29" t="n">
        <f aca="false">COUNTIF('Trade Log'!O5:O103,"A")</f>
        <v>0</v>
      </c>
      <c r="G5" s="28" t="s">
        <v>37</v>
      </c>
      <c r="H5" s="30" t="n">
        <f aca="false">IFERROR(COUNTIF('Trade Log'!Q5:Q103,"Yes")/COUNTA('Trade Log'!Q5:Q103),0)</f>
        <v>0</v>
      </c>
    </row>
    <row r="6" customFormat="false" ht="25.5" hidden="false" customHeight="true" outlineLevel="0" collapsed="false">
      <c r="A6" s="28" t="s">
        <v>38</v>
      </c>
      <c r="B6" s="31" t="n">
        <f aca="false">IFERROR(SUM('Trade Log'!K5:K103),0)</f>
        <v>0</v>
      </c>
      <c r="D6" s="28" t="s">
        <v>39</v>
      </c>
      <c r="E6" s="29" t="n">
        <f aca="false">COUNTIF('Trade Log'!O5:O103,"B")</f>
        <v>0</v>
      </c>
      <c r="G6" s="28" t="s">
        <v>40</v>
      </c>
      <c r="H6" s="30" t="n">
        <f aca="false">IFERROR(COUNTIF('Trade Log'!R5:R103,"No")/COUNTA('Trade Log'!R5:R103),0)</f>
        <v>0</v>
      </c>
    </row>
    <row r="7" customFormat="false" ht="25.5" hidden="false" customHeight="true" outlineLevel="0" collapsed="false">
      <c r="A7" s="28" t="s">
        <v>41</v>
      </c>
      <c r="B7" s="30" t="n">
        <f aca="false">IFERROR(COUNTIF('Trade Log'!N5:N103,"Win")/COUNTA('Trade Log'!N5:N103),0)</f>
        <v>0</v>
      </c>
      <c r="D7" s="28" t="s">
        <v>42</v>
      </c>
      <c r="E7" s="29" t="n">
        <f aca="false">COUNTIF('Trade Log'!O5:O103,"C")</f>
        <v>0</v>
      </c>
      <c r="G7" s="28" t="s">
        <v>43</v>
      </c>
      <c r="H7" s="30" t="n">
        <f aca="false">IFERROR(COUNTIF('Trade Log'!P5:P103,"Calm")/COUNTA('Trade Log'!P5:P103),0)</f>
        <v>0</v>
      </c>
    </row>
    <row r="8" customFormat="false" ht="25.5" hidden="false" customHeight="true" outlineLevel="0" collapsed="false">
      <c r="A8" s="28" t="s">
        <v>44</v>
      </c>
      <c r="B8" s="31" t="n">
        <f aca="false">IFERROR(AVERAGEIF('Trade Log'!N5:N103,"Win",'Trade Log'!K5:K103),0)</f>
        <v>0</v>
      </c>
      <c r="D8" s="28" t="s">
        <v>45</v>
      </c>
      <c r="E8" s="29" t="n">
        <f aca="false">COUNTIF('Trade Log'!O5:O103,"D")</f>
        <v>0</v>
      </c>
      <c r="G8" s="28" t="s">
        <v>46</v>
      </c>
      <c r="H8" s="30" t="n">
        <f aca="false">IFERROR(COUNTIF('Trade Log'!D5:D103,"Long")/COUNTA('Trade Log'!D5:D103),0)</f>
        <v>0</v>
      </c>
    </row>
    <row r="9" customFormat="false" ht="25.5" hidden="false" customHeight="true" outlineLevel="0" collapsed="false">
      <c r="A9" s="28" t="s">
        <v>47</v>
      </c>
      <c r="B9" s="31" t="n">
        <f aca="false">IFERROR(AVERAGEIF('Trade Log'!N5:N103,"Loss",'Trade Log'!K5:K103),0)</f>
        <v>0</v>
      </c>
      <c r="D9" s="28" t="s">
        <v>48</v>
      </c>
      <c r="E9" s="29" t="n">
        <f aca="false">COUNTIF('Trade Log'!O5:O103,"F")</f>
        <v>0</v>
      </c>
    </row>
    <row r="10" customFormat="false" ht="25.5" hidden="false" customHeight="true" outlineLevel="0" collapsed="false">
      <c r="A10" s="28" t="s">
        <v>49</v>
      </c>
      <c r="B10" s="32" t="n">
        <f aca="false">IFERROR(SUMIF('Trade Log'!N5:N103,"Win",'Trade Log'!K5:K103)/ABS(SUMIF('Trade Log'!N5:N103,"Loss",'Trade Log'!K5:K103)),0)</f>
        <v>0</v>
      </c>
    </row>
    <row r="11" customFormat="false" ht="25.5" hidden="false" customHeight="true" outlineLevel="0" collapsed="false">
      <c r="A11" s="28" t="s">
        <v>50</v>
      </c>
      <c r="B11" s="32" t="n">
        <f aca="false">IFERROR(AVERAGE('Trade Log'!M5:M103),0)</f>
        <v>0</v>
      </c>
    </row>
    <row r="12" customFormat="false" ht="25.5" hidden="false" customHeight="true" outlineLevel="0" collapsed="false">
      <c r="A12" s="28" t="s">
        <v>51</v>
      </c>
      <c r="B12" s="31" t="n">
        <f aca="false">IFERROR(MAX('Trade Log'!K5:K103),0)</f>
        <v>0</v>
      </c>
    </row>
    <row r="13" customFormat="false" ht="25.5" hidden="false" customHeight="true" outlineLevel="0" collapsed="false">
      <c r="A13" s="28" t="s">
        <v>52</v>
      </c>
      <c r="B13" s="31" t="n">
        <f aca="false">IFERROR(MIN('Trade Log'!K5:K103),0)</f>
        <v>0</v>
      </c>
    </row>
    <row r="14" customFormat="false" ht="25.5" hidden="false" customHeight="true" outlineLevel="0" collapsed="false">
      <c r="A14" s="28" t="s">
        <v>53</v>
      </c>
      <c r="B14" s="29" t="n">
        <f aca="false">COUNTIF('Trade Log'!D5:D103,"Long")</f>
        <v>0</v>
      </c>
    </row>
    <row r="15" customFormat="false" ht="25.5" hidden="false" customHeight="true" outlineLevel="0" collapsed="false">
      <c r="A15" s="28" t="s">
        <v>54</v>
      </c>
      <c r="B15" s="29" t="n">
        <f aca="false">COUNTIF('Trade Log'!D5:D103,"Short")</f>
        <v>0</v>
      </c>
    </row>
    <row r="17" customFormat="false" ht="43.5" hidden="false" customHeight="true" outlineLevel="0" collapsed="false">
      <c r="A17" s="33" t="s">
        <v>55</v>
      </c>
      <c r="B17" s="33"/>
      <c r="C17" s="33"/>
      <c r="D17" s="33"/>
      <c r="E17" s="33"/>
      <c r="F17" s="33"/>
      <c r="G17" s="33"/>
      <c r="H17" s="33"/>
    </row>
  </sheetData>
  <mergeCells count="6">
    <mergeCell ref="A1:H1"/>
    <mergeCell ref="A2:H2"/>
    <mergeCell ref="A4:B4"/>
    <mergeCell ref="D4:E4"/>
    <mergeCell ref="G4:H4"/>
    <mergeCell ref="A17:H17"/>
  </mergeCells>
  <conditionalFormatting sqref="B6">
    <cfRule type="expression" priority="2" aboveAverage="0" equalAverage="0" bottom="0" percent="0" rank="0" text="" dxfId="6">
      <formula>B6&gt;0</formula>
    </cfRule>
    <cfRule type="expression" priority="3" aboveAverage="0" equalAverage="0" bottom="0" percent="0" rank="0" text="" dxfId="7">
      <formula>B6&lt;0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2D"/>
    <pageSetUpPr fitToPage="false"/>
  </sheetPr>
  <dimension ref="A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</cols>
  <sheetData>
    <row r="1" customFormat="false" ht="42" hidden="false" customHeight="true" outlineLevel="0" collapsed="false">
      <c r="A1" s="1" t="s">
        <v>56</v>
      </c>
      <c r="B1" s="1"/>
    </row>
    <row r="2" customFormat="false" ht="18" hidden="false" customHeight="true" outlineLevel="0" collapsed="false">
      <c r="A2" s="2" t="s">
        <v>57</v>
      </c>
      <c r="B2" s="2"/>
    </row>
    <row r="3" customFormat="false" ht="24" hidden="false" customHeight="true" outlineLevel="0" collapsed="false">
      <c r="A3" s="34" t="s">
        <v>58</v>
      </c>
      <c r="B3" s="35"/>
    </row>
    <row r="5" customFormat="false" ht="21.75" hidden="false" customHeight="true" outlineLevel="0" collapsed="false">
      <c r="A5" s="27" t="s">
        <v>59</v>
      </c>
      <c r="B5" s="27"/>
    </row>
    <row r="6" customFormat="false" ht="21.75" hidden="false" customHeight="true" outlineLevel="0" collapsed="false">
      <c r="A6" s="36" t="s">
        <v>60</v>
      </c>
      <c r="B6" s="37"/>
    </row>
    <row r="7" customFormat="false" ht="21.75" hidden="false" customHeight="true" outlineLevel="0" collapsed="false">
      <c r="A7" s="36" t="s">
        <v>61</v>
      </c>
      <c r="B7" s="37"/>
    </row>
    <row r="8" customFormat="false" ht="21.75" hidden="false" customHeight="true" outlineLevel="0" collapsed="false">
      <c r="A8" s="36" t="s">
        <v>62</v>
      </c>
      <c r="B8" s="37"/>
    </row>
    <row r="9" customFormat="false" ht="54.75" hidden="false" customHeight="true" outlineLevel="0" collapsed="false">
      <c r="A9" s="36" t="s">
        <v>63</v>
      </c>
      <c r="B9" s="37"/>
    </row>
    <row r="10" customFormat="false" ht="54.75" hidden="false" customHeight="true" outlineLevel="0" collapsed="false">
      <c r="A10" s="36" t="s">
        <v>64</v>
      </c>
      <c r="B10" s="37"/>
    </row>
    <row r="12" customFormat="false" ht="21.75" hidden="false" customHeight="true" outlineLevel="0" collapsed="false">
      <c r="A12" s="27" t="s">
        <v>65</v>
      </c>
      <c r="B12" s="27"/>
    </row>
    <row r="13" customFormat="false" ht="49.5" hidden="false" customHeight="true" outlineLevel="0" collapsed="false">
      <c r="A13" s="36" t="s">
        <v>66</v>
      </c>
      <c r="B13" s="37"/>
    </row>
    <row r="14" customFormat="false" ht="49.5" hidden="false" customHeight="true" outlineLevel="0" collapsed="false">
      <c r="A14" s="36" t="s">
        <v>67</v>
      </c>
      <c r="B14" s="37"/>
    </row>
    <row r="15" customFormat="false" ht="49.5" hidden="false" customHeight="true" outlineLevel="0" collapsed="false">
      <c r="A15" s="36" t="s">
        <v>68</v>
      </c>
      <c r="B15" s="37"/>
    </row>
    <row r="17" customFormat="false" ht="21.75" hidden="false" customHeight="true" outlineLevel="0" collapsed="false">
      <c r="A17" s="27" t="s">
        <v>69</v>
      </c>
      <c r="B17" s="27"/>
    </row>
    <row r="18" customFormat="false" ht="54.75" hidden="false" customHeight="true" outlineLevel="0" collapsed="false">
      <c r="A18" s="36" t="s">
        <v>70</v>
      </c>
      <c r="B18" s="37"/>
    </row>
    <row r="19" customFormat="false" ht="54.75" hidden="false" customHeight="true" outlineLevel="0" collapsed="false">
      <c r="A19" s="36" t="s">
        <v>71</v>
      </c>
      <c r="B19" s="37"/>
    </row>
    <row r="20" customFormat="false" ht="54.75" hidden="false" customHeight="true" outlineLevel="0" collapsed="false">
      <c r="A20" s="36" t="s">
        <v>72</v>
      </c>
      <c r="B20" s="37"/>
    </row>
    <row r="21" customFormat="false" ht="54.75" hidden="false" customHeight="true" outlineLevel="0" collapsed="false">
      <c r="A21" s="36" t="s">
        <v>73</v>
      </c>
      <c r="B21" s="37"/>
    </row>
    <row r="23" customFormat="false" ht="21.75" hidden="false" customHeight="true" outlineLevel="0" collapsed="false">
      <c r="A23" s="27" t="s">
        <v>74</v>
      </c>
      <c r="B23" s="27"/>
    </row>
    <row r="24" customFormat="false" ht="54.75" hidden="false" customHeight="true" outlineLevel="0" collapsed="false">
      <c r="A24" s="36" t="s">
        <v>75</v>
      </c>
      <c r="B24" s="37"/>
    </row>
    <row r="25" customFormat="false" ht="49.5" hidden="false" customHeight="true" outlineLevel="0" collapsed="false">
      <c r="A25" s="36" t="s">
        <v>76</v>
      </c>
      <c r="B25" s="37"/>
    </row>
    <row r="26" customFormat="false" ht="54.75" hidden="false" customHeight="true" outlineLevel="0" collapsed="false">
      <c r="A26" s="36" t="s">
        <v>77</v>
      </c>
      <c r="B26" s="37"/>
    </row>
    <row r="27" customFormat="false" ht="49.5" hidden="false" customHeight="true" outlineLevel="0" collapsed="false">
      <c r="A27" s="36" t="s">
        <v>78</v>
      </c>
      <c r="B27" s="37"/>
    </row>
  </sheetData>
  <mergeCells count="6">
    <mergeCell ref="A1:B1"/>
    <mergeCell ref="A2:B2"/>
    <mergeCell ref="A5:B5"/>
    <mergeCell ref="A12:B12"/>
    <mergeCell ref="A17:B17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A0D"/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28"/>
  </cols>
  <sheetData>
    <row r="1" customFormat="false" ht="42" hidden="false" customHeight="true" outlineLevel="0" collapsed="false">
      <c r="A1" s="1" t="s">
        <v>79</v>
      </c>
      <c r="B1" s="1"/>
      <c r="C1" s="1"/>
      <c r="D1" s="1"/>
    </row>
    <row r="2" customFormat="false" ht="18" hidden="false" customHeight="true" outlineLevel="0" collapsed="false">
      <c r="A2" s="2" t="s">
        <v>80</v>
      </c>
      <c r="B2" s="2"/>
      <c r="C2" s="2"/>
      <c r="D2" s="2"/>
    </row>
    <row r="3" customFormat="false" ht="24" hidden="false" customHeight="true" outlineLevel="0" collapsed="false">
      <c r="A3" s="34" t="s">
        <v>81</v>
      </c>
      <c r="B3" s="34"/>
      <c r="C3" s="35"/>
      <c r="D3" s="34" t="s">
        <v>82</v>
      </c>
    </row>
    <row r="4" customFormat="false" ht="21.75" hidden="false" customHeight="true" outlineLevel="0" collapsed="false">
      <c r="A4" s="38" t="s">
        <v>83</v>
      </c>
      <c r="B4" s="38" t="s">
        <v>84</v>
      </c>
      <c r="C4" s="38" t="s">
        <v>85</v>
      </c>
      <c r="D4" s="38" t="s">
        <v>86</v>
      </c>
    </row>
    <row r="5" customFormat="false" ht="36" hidden="false" customHeight="true" outlineLevel="0" collapsed="false">
      <c r="A5" s="39" t="n">
        <v>1</v>
      </c>
      <c r="B5" s="40" t="s">
        <v>87</v>
      </c>
      <c r="C5" s="41"/>
      <c r="D5" s="42" t="s">
        <v>88</v>
      </c>
    </row>
    <row r="6" customFormat="false" ht="36" hidden="false" customHeight="true" outlineLevel="0" collapsed="false">
      <c r="A6" s="43" t="n">
        <v>2</v>
      </c>
      <c r="B6" s="44" t="s">
        <v>89</v>
      </c>
      <c r="C6" s="41"/>
      <c r="D6" s="45" t="s">
        <v>90</v>
      </c>
    </row>
    <row r="7" customFormat="false" ht="36" hidden="false" customHeight="true" outlineLevel="0" collapsed="false">
      <c r="A7" s="39" t="n">
        <v>3</v>
      </c>
      <c r="B7" s="40" t="s">
        <v>91</v>
      </c>
      <c r="C7" s="41"/>
      <c r="D7" s="42" t="s">
        <v>92</v>
      </c>
    </row>
    <row r="8" customFormat="false" ht="36" hidden="false" customHeight="true" outlineLevel="0" collapsed="false">
      <c r="A8" s="43" t="n">
        <v>4</v>
      </c>
      <c r="B8" s="44" t="s">
        <v>93</v>
      </c>
      <c r="C8" s="41"/>
      <c r="D8" s="45" t="s">
        <v>94</v>
      </c>
    </row>
    <row r="9" customFormat="false" ht="36" hidden="false" customHeight="true" outlineLevel="0" collapsed="false">
      <c r="A9" s="39" t="n">
        <v>5</v>
      </c>
      <c r="B9" s="40" t="s">
        <v>95</v>
      </c>
      <c r="C9" s="41"/>
      <c r="D9" s="42" t="s">
        <v>96</v>
      </c>
    </row>
    <row r="10" customFormat="false" ht="36" hidden="false" customHeight="true" outlineLevel="0" collapsed="false">
      <c r="A10" s="43" t="n">
        <v>6</v>
      </c>
      <c r="B10" s="44" t="s">
        <v>97</v>
      </c>
      <c r="C10" s="41"/>
      <c r="D10" s="45" t="s">
        <v>98</v>
      </c>
    </row>
    <row r="11" customFormat="false" ht="36" hidden="false" customHeight="true" outlineLevel="0" collapsed="false">
      <c r="A11" s="39" t="n">
        <v>7</v>
      </c>
      <c r="B11" s="40" t="s">
        <v>99</v>
      </c>
      <c r="C11" s="41"/>
      <c r="D11" s="42" t="s">
        <v>100</v>
      </c>
    </row>
    <row r="12" customFormat="false" ht="36" hidden="false" customHeight="true" outlineLevel="0" collapsed="false">
      <c r="A12" s="43" t="n">
        <v>8</v>
      </c>
      <c r="B12" s="44" t="s">
        <v>101</v>
      </c>
      <c r="C12" s="41"/>
      <c r="D12" s="45" t="s">
        <v>102</v>
      </c>
    </row>
    <row r="13" customFormat="false" ht="36" hidden="false" customHeight="true" outlineLevel="0" collapsed="false">
      <c r="A13" s="39" t="n">
        <v>9</v>
      </c>
      <c r="B13" s="40" t="s">
        <v>103</v>
      </c>
      <c r="C13" s="41"/>
      <c r="D13" s="42" t="s">
        <v>104</v>
      </c>
    </row>
    <row r="14" customFormat="false" ht="36" hidden="false" customHeight="true" outlineLevel="0" collapsed="false">
      <c r="A14" s="43" t="n">
        <v>10</v>
      </c>
      <c r="B14" s="44" t="s">
        <v>105</v>
      </c>
      <c r="C14" s="41"/>
      <c r="D14" s="45" t="s">
        <v>106</v>
      </c>
    </row>
    <row r="15" customFormat="false" ht="36" hidden="false" customHeight="true" outlineLevel="0" collapsed="false">
      <c r="A15" s="39" t="n">
        <v>11</v>
      </c>
      <c r="B15" s="40" t="s">
        <v>107</v>
      </c>
      <c r="C15" s="41"/>
      <c r="D15" s="42" t="s">
        <v>108</v>
      </c>
    </row>
    <row r="16" customFormat="false" ht="36" hidden="false" customHeight="true" outlineLevel="0" collapsed="false">
      <c r="A16" s="43" t="n">
        <v>12</v>
      </c>
      <c r="B16" s="44" t="s">
        <v>109</v>
      </c>
      <c r="C16" s="41"/>
      <c r="D16" s="45" t="s">
        <v>110</v>
      </c>
    </row>
    <row r="17" customFormat="false" ht="31.5" hidden="false" customHeight="true" outlineLevel="0" collapsed="false">
      <c r="A17" s="46" t="s">
        <v>111</v>
      </c>
      <c r="B17" s="46"/>
      <c r="C17" s="47" t="n">
        <f aca="false">IF(C5="Yes",1,0)+IF(C6="Yes",1,0)+IF(C11="Yes",1,0)+IF(C15="Yes",1,0)+IF(C16="Yes",1,0)+IF(C7="No",1,0)+IF(C8="No",1,0)+IF(C9="No",1,0)+IF(C10="No",1,0)+IF(C12="No",1,0)+IF(C13="No",1,0)+IF(C14="No",1,0)</f>
        <v>0</v>
      </c>
      <c r="D17" s="48" t="s">
        <v>112</v>
      </c>
    </row>
    <row r="18" customFormat="false" ht="60" hidden="false" customHeight="true" outlineLevel="0" collapsed="false">
      <c r="A18" s="49" t="s">
        <v>113</v>
      </c>
      <c r="B18" s="50"/>
      <c r="C18" s="50"/>
      <c r="D18" s="50"/>
    </row>
  </sheetData>
  <mergeCells count="5">
    <mergeCell ref="A1:D1"/>
    <mergeCell ref="A2:D2"/>
    <mergeCell ref="A3:B3"/>
    <mergeCell ref="A17:B17"/>
    <mergeCell ref="B18:D18"/>
  </mergeCells>
  <conditionalFormatting sqref="C5">
    <cfRule type="expression" priority="2" aboveAverage="0" equalAverage="0" bottom="0" percent="0" rank="0" text="" dxfId="2">
      <formula>C5="Yes"</formula>
    </cfRule>
    <cfRule type="expression" priority="3" aboveAverage="0" equalAverage="0" bottom="0" percent="0" rank="0" text="" dxfId="3">
      <formula>C5="No"</formula>
    </cfRule>
  </conditionalFormatting>
  <conditionalFormatting sqref="C6">
    <cfRule type="expression" priority="4" aboveAverage="0" equalAverage="0" bottom="0" percent="0" rank="0" text="" dxfId="2">
      <formula>C6="Yes"</formula>
    </cfRule>
    <cfRule type="expression" priority="5" aboveAverage="0" equalAverage="0" bottom="0" percent="0" rank="0" text="" dxfId="3">
      <formula>C6="No"</formula>
    </cfRule>
  </conditionalFormatting>
  <conditionalFormatting sqref="C7">
    <cfRule type="expression" priority="6" aboveAverage="0" equalAverage="0" bottom="0" percent="0" rank="0" text="" dxfId="2">
      <formula>C7="No"</formula>
    </cfRule>
    <cfRule type="expression" priority="7" aboveAverage="0" equalAverage="0" bottom="0" percent="0" rank="0" text="" dxfId="3">
      <formula>C7="Yes"</formula>
    </cfRule>
  </conditionalFormatting>
  <conditionalFormatting sqref="C8">
    <cfRule type="expression" priority="8" aboveAverage="0" equalAverage="0" bottom="0" percent="0" rank="0" text="" dxfId="2">
      <formula>C8="No"</formula>
    </cfRule>
    <cfRule type="expression" priority="9" aboveAverage="0" equalAverage="0" bottom="0" percent="0" rank="0" text="" dxfId="3">
      <formula>C8="Yes"</formula>
    </cfRule>
  </conditionalFormatting>
  <conditionalFormatting sqref="C9">
    <cfRule type="expression" priority="10" aboveAverage="0" equalAverage="0" bottom="0" percent="0" rank="0" text="" dxfId="2">
      <formula>C9="No"</formula>
    </cfRule>
    <cfRule type="expression" priority="11" aboveAverage="0" equalAverage="0" bottom="0" percent="0" rank="0" text="" dxfId="3">
      <formula>C9="Yes"</formula>
    </cfRule>
  </conditionalFormatting>
  <conditionalFormatting sqref="C10">
    <cfRule type="expression" priority="12" aboveAverage="0" equalAverage="0" bottom="0" percent="0" rank="0" text="" dxfId="2">
      <formula>C10="No"</formula>
    </cfRule>
    <cfRule type="expression" priority="13" aboveAverage="0" equalAverage="0" bottom="0" percent="0" rank="0" text="" dxfId="3">
      <formula>C10="Yes"</formula>
    </cfRule>
  </conditionalFormatting>
  <conditionalFormatting sqref="C11">
    <cfRule type="expression" priority="14" aboveAverage="0" equalAverage="0" bottom="0" percent="0" rank="0" text="" dxfId="2">
      <formula>C11="Yes"</formula>
    </cfRule>
    <cfRule type="expression" priority="15" aboveAverage="0" equalAverage="0" bottom="0" percent="0" rank="0" text="" dxfId="3">
      <formula>C11="No"</formula>
    </cfRule>
  </conditionalFormatting>
  <conditionalFormatting sqref="C12">
    <cfRule type="expression" priority="16" aboveAverage="0" equalAverage="0" bottom="0" percent="0" rank="0" text="" dxfId="2">
      <formula>C12="No"</formula>
    </cfRule>
    <cfRule type="expression" priority="17" aboveAverage="0" equalAverage="0" bottom="0" percent="0" rank="0" text="" dxfId="3">
      <formula>C12="Yes"</formula>
    </cfRule>
  </conditionalFormatting>
  <conditionalFormatting sqref="C13">
    <cfRule type="expression" priority="18" aboveAverage="0" equalAverage="0" bottom="0" percent="0" rank="0" text="" dxfId="2">
      <formula>C13="No"</formula>
    </cfRule>
    <cfRule type="expression" priority="19" aboveAverage="0" equalAverage="0" bottom="0" percent="0" rank="0" text="" dxfId="3">
      <formula>C13="Yes"</formula>
    </cfRule>
  </conditionalFormatting>
  <conditionalFormatting sqref="C14">
    <cfRule type="expression" priority="20" aboveAverage="0" equalAverage="0" bottom="0" percent="0" rank="0" text="" dxfId="2">
      <formula>C14="No"</formula>
    </cfRule>
    <cfRule type="expression" priority="21" aboveAverage="0" equalAverage="0" bottom="0" percent="0" rank="0" text="" dxfId="3">
      <formula>C14="Yes"</formula>
    </cfRule>
  </conditionalFormatting>
  <conditionalFormatting sqref="C15">
    <cfRule type="expression" priority="22" aboveAverage="0" equalAverage="0" bottom="0" percent="0" rank="0" text="" dxfId="2">
      <formula>C15="Yes"</formula>
    </cfRule>
    <cfRule type="expression" priority="23" aboveAverage="0" equalAverage="0" bottom="0" percent="0" rank="0" text="" dxfId="3">
      <formula>C15="No"</formula>
    </cfRule>
  </conditionalFormatting>
  <conditionalFormatting sqref="C16">
    <cfRule type="expression" priority="24" aboveAverage="0" equalAverage="0" bottom="0" percent="0" rank="0" text="" dxfId="2">
      <formula>C16="Yes"</formula>
    </cfRule>
    <cfRule type="expression" priority="25" aboveAverage="0" equalAverage="0" bottom="0" percent="0" rank="0" text="" dxfId="3">
      <formula>C16="No"</formula>
    </cfRule>
  </conditionalFormatting>
  <conditionalFormatting sqref="C17">
    <cfRule type="expression" priority="26" aboveAverage="0" equalAverage="0" bottom="0" percent="0" rank="0" text="" dxfId="8">
      <formula>C17&gt;=10</formula>
    </cfRule>
    <cfRule type="expression" priority="27" aboveAverage="0" equalAverage="0" bottom="0" percent="0" rank="0" text="" dxfId="9">
      <formula>AND(C17&gt;=7,C17&lt;=9)</formula>
    </cfRule>
    <cfRule type="expression" priority="28" aboveAverage="0" equalAverage="0" bottom="0" percent="0" rank="0" text="" dxfId="10">
      <formula>C17&lt;7</formula>
    </cfRule>
  </conditionalFormatting>
  <dataValidations count="1">
    <dataValidation allowBlank="true" errorStyle="stop" operator="between" showDropDown="false" showErrorMessage="false" showInputMessage="false" sqref="C5:C200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2026-07-28T20:20:38Z</dcterms:created>
  <dc:creator>openpyxl</dc:creator>
  <dc:description/>
  <dc:language>en-US</dc:language>
  <cp:lastModifiedBy/>
  <dcterms:modified xsi:type="dcterms:W3CDTF">2026-07-28T20:20:39Z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